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a_alhanini\Desktop\4th year\Graduation Project\"/>
    </mc:Choice>
  </mc:AlternateContent>
  <xr:revisionPtr revIDLastSave="0" documentId="13_ncr:1_{72B46DB1-0C82-4A9E-808D-385B09785DE2}" xr6:coauthVersionLast="47" xr6:coauthVersionMax="47" xr10:uidLastSave="{00000000-0000-0000-0000-000000000000}"/>
  <bookViews>
    <workbookView xWindow="-120" yWindow="-120" windowWidth="29040" windowHeight="15720" xr2:uid="{027C02CC-F0FD-4977-BF68-92CC8022CAB7}"/>
  </bookViews>
  <sheets>
    <sheet name="Final Data" sheetId="1" r:id="rId1"/>
    <sheet name="popu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Q2" i="1"/>
  <c r="R2" i="1" s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D37" i="1"/>
  <c r="E37" i="1" s="1"/>
  <c r="D36" i="1"/>
  <c r="G36" i="1" s="1"/>
  <c r="D35" i="1"/>
  <c r="E35" i="1" s="1"/>
  <c r="D34" i="1"/>
  <c r="G34" i="1" s="1"/>
  <c r="D33" i="1"/>
  <c r="E33" i="1" s="1"/>
  <c r="D32" i="1"/>
  <c r="E32" i="1" s="1"/>
  <c r="D31" i="1"/>
  <c r="G31" i="1" s="1"/>
  <c r="D30" i="1"/>
  <c r="G30" i="1" s="1"/>
  <c r="D29" i="1"/>
  <c r="G29" i="1" s="1"/>
  <c r="D28" i="1"/>
  <c r="G28" i="1" s="1"/>
  <c r="D27" i="1"/>
  <c r="G27" i="1" s="1"/>
  <c r="D26" i="1"/>
  <c r="E26" i="1" s="1"/>
  <c r="D25" i="1"/>
  <c r="E25" i="1" s="1"/>
  <c r="D24" i="1"/>
  <c r="E24" i="1" s="1"/>
  <c r="D23" i="1"/>
  <c r="G23" i="1" s="1"/>
  <c r="D22" i="1"/>
  <c r="G22" i="1" s="1"/>
  <c r="D21" i="1"/>
  <c r="G21" i="1" s="1"/>
  <c r="D20" i="1"/>
  <c r="E20" i="1" s="1"/>
  <c r="D19" i="1"/>
  <c r="G19" i="1" s="1"/>
  <c r="D18" i="1"/>
  <c r="G18" i="1" s="1"/>
  <c r="D17" i="1"/>
  <c r="G17" i="1" s="1"/>
  <c r="D16" i="1"/>
  <c r="G16" i="1" s="1"/>
  <c r="D15" i="1"/>
  <c r="G15" i="1" s="1"/>
  <c r="D14" i="1"/>
  <c r="E14" i="1" s="1"/>
  <c r="D13" i="1"/>
  <c r="E13" i="1" s="1"/>
  <c r="D12" i="1"/>
  <c r="G12" i="1" s="1"/>
  <c r="D11" i="1"/>
  <c r="G11" i="1" s="1"/>
  <c r="D10" i="1"/>
  <c r="G10" i="1" s="1"/>
  <c r="D9" i="1"/>
  <c r="G9" i="1" s="1"/>
  <c r="D8" i="1"/>
  <c r="E8" i="1" s="1"/>
  <c r="D7" i="1"/>
  <c r="G7" i="1" s="1"/>
  <c r="D6" i="1"/>
  <c r="G6" i="1" s="1"/>
  <c r="D5" i="1"/>
  <c r="G5" i="1" s="1"/>
  <c r="D4" i="1"/>
  <c r="G4" i="1" s="1"/>
  <c r="D3" i="1"/>
  <c r="G3" i="1" s="1"/>
  <c r="D2" i="1"/>
  <c r="E2" i="1" s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F3" i="2"/>
  <c r="F2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G24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E12" i="1"/>
  <c r="E36" i="1"/>
  <c r="E42" i="1"/>
  <c r="E41" i="1"/>
  <c r="E49" i="1"/>
  <c r="E48" i="1"/>
  <c r="E40" i="1"/>
  <c r="E44" i="1"/>
  <c r="E47" i="1"/>
  <c r="E43" i="1"/>
  <c r="E38" i="1"/>
  <c r="E39" i="1"/>
  <c r="E46" i="1"/>
  <c r="E45" i="1"/>
  <c r="E54" i="1"/>
  <c r="E53" i="1"/>
  <c r="E61" i="1"/>
  <c r="E60" i="1"/>
  <c r="E52" i="1"/>
  <c r="E56" i="1"/>
  <c r="E59" i="1"/>
  <c r="E55" i="1"/>
  <c r="E50" i="1"/>
  <c r="E51" i="1"/>
  <c r="E58" i="1"/>
  <c r="E57" i="1"/>
  <c r="E66" i="1"/>
  <c r="E65" i="1"/>
  <c r="E73" i="1"/>
  <c r="E72" i="1"/>
  <c r="E64" i="1"/>
  <c r="E68" i="1"/>
  <c r="E71" i="1"/>
  <c r="E67" i="1"/>
  <c r="E62" i="1"/>
  <c r="E63" i="1"/>
  <c r="E70" i="1"/>
  <c r="E69" i="1"/>
  <c r="E78" i="1"/>
  <c r="E77" i="1"/>
  <c r="E85" i="1"/>
  <c r="E84" i="1"/>
  <c r="E76" i="1"/>
  <c r="E80" i="1"/>
  <c r="E83" i="1"/>
  <c r="E79" i="1"/>
  <c r="E74" i="1"/>
  <c r="E75" i="1"/>
  <c r="E82" i="1"/>
  <c r="E81" i="1"/>
  <c r="E90" i="1"/>
  <c r="E89" i="1"/>
  <c r="E97" i="1"/>
  <c r="E96" i="1"/>
  <c r="E88" i="1"/>
  <c r="E92" i="1"/>
  <c r="E95" i="1"/>
  <c r="E91" i="1"/>
  <c r="E86" i="1"/>
  <c r="E87" i="1"/>
  <c r="E94" i="1"/>
  <c r="E93" i="1"/>
  <c r="E102" i="1"/>
  <c r="E101" i="1"/>
  <c r="E109" i="1"/>
  <c r="E108" i="1"/>
  <c r="E100" i="1"/>
  <c r="E104" i="1"/>
  <c r="E107" i="1"/>
  <c r="E103" i="1"/>
  <c r="E98" i="1"/>
  <c r="E99" i="1"/>
  <c r="E106" i="1"/>
  <c r="E105" i="1"/>
  <c r="E114" i="1"/>
  <c r="E113" i="1"/>
  <c r="E121" i="1"/>
  <c r="E120" i="1"/>
  <c r="E112" i="1"/>
  <c r="E116" i="1"/>
  <c r="E119" i="1"/>
  <c r="E115" i="1"/>
  <c r="E110" i="1"/>
  <c r="E111" i="1"/>
  <c r="E118" i="1"/>
  <c r="E117" i="1"/>
  <c r="E126" i="1"/>
  <c r="E125" i="1"/>
  <c r="E133" i="1"/>
  <c r="E132" i="1"/>
  <c r="E124" i="1"/>
  <c r="E128" i="1"/>
  <c r="E131" i="1"/>
  <c r="E127" i="1"/>
  <c r="E122" i="1"/>
  <c r="E123" i="1"/>
  <c r="E130" i="1"/>
  <c r="E129" i="1"/>
  <c r="G35" i="1" l="1"/>
  <c r="S2" i="1"/>
  <c r="S29" i="1"/>
  <c r="S13" i="1"/>
  <c r="S24" i="1"/>
  <c r="S23" i="1"/>
  <c r="S34" i="1"/>
  <c r="S22" i="1"/>
  <c r="S10" i="1"/>
  <c r="S5" i="1"/>
  <c r="S25" i="1"/>
  <c r="S36" i="1"/>
  <c r="S12" i="1"/>
  <c r="S35" i="1"/>
  <c r="S11" i="1"/>
  <c r="S33" i="1"/>
  <c r="S21" i="1"/>
  <c r="S9" i="1"/>
  <c r="S37" i="1"/>
  <c r="S32" i="1"/>
  <c r="S8" i="1"/>
  <c r="S31" i="1"/>
  <c r="S20" i="1"/>
  <c r="E23" i="1"/>
  <c r="S19" i="1"/>
  <c r="S7" i="1"/>
  <c r="E11" i="1"/>
  <c r="S30" i="1"/>
  <c r="S18" i="1"/>
  <c r="S6" i="1"/>
  <c r="S17" i="1"/>
  <c r="S28" i="1"/>
  <c r="S16" i="1"/>
  <c r="S4" i="1"/>
  <c r="S27" i="1"/>
  <c r="S15" i="1"/>
  <c r="S26" i="1"/>
  <c r="S14" i="1"/>
  <c r="S3" i="1"/>
  <c r="G33" i="1"/>
  <c r="E10" i="1"/>
  <c r="E34" i="1"/>
  <c r="E21" i="1"/>
  <c r="E22" i="1"/>
  <c r="E29" i="1"/>
  <c r="E18" i="1"/>
  <c r="E9" i="1"/>
  <c r="E7" i="1"/>
  <c r="E31" i="1"/>
  <c r="G20" i="1"/>
  <c r="E19" i="1"/>
  <c r="E5" i="1"/>
  <c r="G14" i="1"/>
  <c r="E30" i="1"/>
  <c r="E17" i="1"/>
  <c r="G32" i="1"/>
  <c r="G8" i="1"/>
  <c r="E6" i="1"/>
  <c r="G26" i="1"/>
  <c r="G2" i="1"/>
  <c r="G37" i="1"/>
  <c r="G13" i="1"/>
  <c r="E15" i="1"/>
  <c r="G25" i="1"/>
  <c r="E27" i="1"/>
  <c r="E3" i="1"/>
  <c r="E28" i="1"/>
  <c r="E16" i="1"/>
  <c r="E4" i="1"/>
</calcChain>
</file>

<file path=xl/sharedStrings.xml><?xml version="1.0" encoding="utf-8"?>
<sst xmlns="http://schemas.openxmlformats.org/spreadsheetml/2006/main" count="197" uniqueCount="38">
  <si>
    <t>YEAR</t>
  </si>
  <si>
    <t>Governorates</t>
  </si>
  <si>
    <t>establishments</t>
  </si>
  <si>
    <t>Irbid</t>
  </si>
  <si>
    <t>Balqa</t>
  </si>
  <si>
    <t>Zarqa</t>
  </si>
  <si>
    <t>Tafilah</t>
  </si>
  <si>
    <t>Aqaba</t>
  </si>
  <si>
    <t>Karak</t>
  </si>
  <si>
    <t>Mafraq</t>
  </si>
  <si>
    <t>Jerash</t>
  </si>
  <si>
    <t>Ajloun</t>
  </si>
  <si>
    <t>Amman</t>
  </si>
  <si>
    <t>Madaba</t>
  </si>
  <si>
    <t>Ma'an</t>
  </si>
  <si>
    <t>Population +15</t>
  </si>
  <si>
    <t>Establishments per 1,000 (15+)</t>
  </si>
  <si>
    <t>Employed</t>
  </si>
  <si>
    <t>Employment Rate</t>
  </si>
  <si>
    <t>Unemployed</t>
  </si>
  <si>
    <t>Labor Force</t>
  </si>
  <si>
    <t>Unemployment Rate</t>
  </si>
  <si>
    <t xml:space="preserve">Num of Schools </t>
  </si>
  <si>
    <t>Num of Students</t>
  </si>
  <si>
    <t>Number of Classes</t>
  </si>
  <si>
    <t>Students per School</t>
  </si>
  <si>
    <t>Classes per School</t>
  </si>
  <si>
    <t>Students per Class</t>
  </si>
  <si>
    <t>Total Population</t>
  </si>
  <si>
    <t>population +15 Rate</t>
  </si>
  <si>
    <t xml:space="preserve">population 5-19 Rate </t>
  </si>
  <si>
    <t>Population aged 5–19</t>
  </si>
  <si>
    <t>Population aged 15+</t>
  </si>
  <si>
    <t>Population 5-19</t>
  </si>
  <si>
    <t>Student Ratio (5–19</t>
  </si>
  <si>
    <t>Schools per 1,000 population</t>
  </si>
  <si>
    <t xml:space="preserve">Area </t>
  </si>
  <si>
    <t>Population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</si>
</sst>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#,##0.0"/>
    <numFmt numFmtId="171" formatCode="0.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49" fontId="0" fillId="0" borderId="0" xfId="0" applyNumberFormat="1"/>
    <xf numFmtId="0" fontId="2" fillId="0" borderId="0" xfId="0" applyFont="1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Fill="1"/>
    <xf numFmtId="49" fontId="0" fillId="2" borderId="1" xfId="0" applyNumberFormat="1" applyFont="1" applyFill="1" applyBorder="1"/>
    <xf numFmtId="49" fontId="0" fillId="0" borderId="1" xfId="0" applyNumberFormat="1" applyFont="1" applyBorder="1"/>
    <xf numFmtId="49" fontId="0" fillId="0" borderId="3" xfId="0" applyNumberFormat="1" applyFont="1" applyBorder="1"/>
    <xf numFmtId="0" fontId="0" fillId="0" borderId="3" xfId="0" applyFont="1" applyBorder="1"/>
    <xf numFmtId="0" fontId="0" fillId="0" borderId="2" xfId="0" applyBorder="1"/>
    <xf numFmtId="170" fontId="0" fillId="0" borderId="1" xfId="0" applyNumberFormat="1" applyFont="1" applyBorder="1"/>
    <xf numFmtId="170" fontId="0" fillId="0" borderId="2" xfId="0" applyNumberFormat="1" applyFont="1" applyBorder="1"/>
    <xf numFmtId="170" fontId="0" fillId="0" borderId="3" xfId="0" applyNumberFormat="1" applyFont="1" applyBorder="1"/>
    <xf numFmtId="171" fontId="0" fillId="0" borderId="0" xfId="0" applyNumberFormat="1"/>
    <xf numFmtId="0" fontId="0" fillId="0" borderId="0" xfId="0" applyNumberFormat="1" applyFont="1"/>
    <xf numFmtId="0" fontId="3" fillId="0" borderId="0" xfId="0" applyNumberFormat="1" applyFont="1"/>
  </cellXfs>
  <cellStyles count="1">
    <cellStyle name="Normal" xfId="0" builtinId="0"/>
  </cellStyles>
  <dxfs count="22"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" formatCode="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#,##0.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0" formatCode="#,##0.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FECBEF-04AE-4DF0-8127-0FC185F5B13C}" name="Table1" displayName="Table1" ref="A1:V133" totalsRowShown="0" tableBorderDxfId="21" headerRowCellStyle="Normal" dataCellStyle="Normal">
  <autoFilter ref="A1:V133" xr:uid="{63FECBEF-04AE-4DF0-8127-0FC185F5B13C}"/>
  <sortState xmlns:xlrd2="http://schemas.microsoft.com/office/spreadsheetml/2017/richdata2" ref="A2:Q133">
    <sortCondition ref="B1:B133"/>
  </sortState>
  <tableColumns count="22">
    <tableColumn id="1" xr3:uid="{C95EF6B6-E6D2-4563-81D1-F803A1E96B89}" name="Governorates" dataDxfId="10" dataCellStyle="Normal"/>
    <tableColumn id="6" xr3:uid="{6276C220-644F-40FD-AB0C-CE0EDEB525B6}" name="YEAR" dataCellStyle="Normal"/>
    <tableColumn id="2" xr3:uid="{2AE53CAA-7B1A-4D7B-87E3-D36FC21B6083}" name="establishments" dataCellStyle="Normal"/>
    <tableColumn id="4" xr3:uid="{B2AD6BEB-39B8-428D-8562-45D4E1699EE5}" name="Population +15" dataDxfId="9" dataCellStyle="Normal"/>
    <tableColumn id="7" xr3:uid="{FE956951-2D74-4FD9-B51E-4124A25E99A0}" name="Establishments per 1,000 (15+)" dataDxfId="8" dataCellStyle="Normal">
      <calculatedColumnFormula>(Table1[[#This Row],[establishments]]/Table1[[#This Row],[Population +15]])*1000</calculatedColumnFormula>
    </tableColumn>
    <tableColumn id="8" xr3:uid="{76294681-74F3-4887-B329-C52617FDA0FE}" name="Employed" dataCellStyle="Normal"/>
    <tableColumn id="10" xr3:uid="{C56FFE54-6AA5-4103-A7A6-D988CCC2D132}" name="Employment Rate" dataDxfId="7" dataCellStyle="Normal">
      <calculatedColumnFormula>(Table1[[#This Row],[Employed]]/Table1[[#This Row],[Population +15]])*100</calculatedColumnFormula>
    </tableColumn>
    <tableColumn id="11" xr3:uid="{7123DD3D-E758-489D-A160-7BB2AECEB6DB}" name="Unemployed" dataCellStyle="Normal"/>
    <tableColumn id="12" xr3:uid="{4813CD63-BDB5-49D5-B905-7D53B7F2A29E}" name="Labor Force" dataCellStyle="Normal">
      <calculatedColumnFormula>Table1[[#This Row],[Unemployed]]+Table1[[#This Row],[Employed]]</calculatedColumnFormula>
    </tableColumn>
    <tableColumn id="13" xr3:uid="{5337C078-7A7F-4A6A-BB1B-68B7DF651AA0}" name="Unemployment Rate" dataDxfId="6" dataCellStyle="Normal">
      <calculatedColumnFormula>(Table1[[#This Row],[Unemployed]]/Table1[[#This Row],[Labor Force]])*100</calculatedColumnFormula>
    </tableColumn>
    <tableColumn id="3" xr3:uid="{91932731-376F-43DE-9C42-FDD7FD3CDB56}" name="Num of Schools " dataCellStyle="Normal"/>
    <tableColumn id="5" xr3:uid="{7D33AB71-1E9F-4324-9B64-96AF4D4B46A9}" name="Num of Students" dataCellStyle="Normal"/>
    <tableColumn id="9" xr3:uid="{12C2BE33-CB7D-459A-A076-DDAFDAF305FB}" name="Number of Classes" dataCellStyle="Normal"/>
    <tableColumn id="14" xr3:uid="{2E68EAAD-2008-4C64-AEFD-0534749325A2}" name="Students per School" dataDxfId="5" dataCellStyle="Normal">
      <calculatedColumnFormula>Table1[[#This Row],[Num of Students]]/Table1[[#This Row],[Num of Schools ]]</calculatedColumnFormula>
    </tableColumn>
    <tableColumn id="15" xr3:uid="{B69B5520-DC07-49C7-A300-5400E8223FB4}" name="Classes per School" dataDxfId="4" dataCellStyle="Normal">
      <calculatedColumnFormula>Table1[[#This Row],[Number of Classes]]/Table1[[#This Row],[Num of Schools ]]</calculatedColumnFormula>
    </tableColumn>
    <tableColumn id="16" xr3:uid="{6DAB8A16-A028-4FC6-A8D1-2D757FF158EB}" name="Students per Class" dataDxfId="3" dataCellStyle="Normal">
      <calculatedColumnFormula>Table1[[#This Row],[Num of Students]]/Table1[[#This Row],[Number of Classes]]</calculatedColumnFormula>
    </tableColumn>
    <tableColumn id="17" xr3:uid="{079F693F-115D-4D25-9238-34DE35B7AF13}" name="Population 5-19" dataCellStyle="Normal">
      <calculatedColumnFormula>Table3[[#This Row],[Total Population]]*(Table3[[#This Row],[population 5-19 Rate ]]/100)</calculatedColumnFormula>
    </tableColumn>
    <tableColumn id="18" xr3:uid="{A93CF393-CFF8-48C0-BAD1-4FDF1B3538CB}" name="Student Ratio (5–19" dataDxfId="2" dataCellStyle="Normal">
      <calculatedColumnFormula>Table1[[#This Row],[Num of Students]]/Table1[[#This Row],[Population 5-19]]*100</calculatedColumnFormula>
    </tableColumn>
    <tableColumn id="21" xr3:uid="{A157AE68-E02A-4BB6-B4D9-E6B9691A7570}" name="Schools per 1,000 population" dataDxfId="1" dataCellStyle="Normal">
      <calculatedColumnFormula>Table1[[#This Row],[Num of Schools ]]/Table1[[#This Row],[Population 5-19]]*1000</calculatedColumnFormula>
    </tableColumn>
    <tableColumn id="22" xr3:uid="{CBE2CCB7-152F-47A0-8400-A2DF47B8F384}" name="Area " dataCellStyle="Normal"/>
    <tableColumn id="23" xr3:uid="{64AB3F1A-DF2F-4B79-BEC0-2FF83409F7A8}" name="Total Population" dataCellStyle="Normal"/>
    <tableColumn id="24" xr3:uid="{4DA781DC-870A-4592-9789-3825B7F7EE39}" name="Population Density" dataDxfId="0" dataCellStyle="Normal">
      <calculatedColumnFormula>Table1[[#This Row],[Total Population]]/Table1[[#This Row],[Area 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898BE5-8B70-4693-9B55-7837427CC5AA}" name="Table3" displayName="Table3" ref="A1:G37" totalsRowShown="0" headerRowBorderDxfId="19" tableBorderDxfId="20" totalsRowBorderDxfId="18">
  <autoFilter ref="A1:G37" xr:uid="{76898BE5-8B70-4693-9B55-7837427CC5AA}"/>
  <tableColumns count="7">
    <tableColumn id="1" xr3:uid="{FE3EDF3B-C3DD-4A97-891C-A73F5610CF38}" name="Governorates" dataDxfId="17"/>
    <tableColumn id="2" xr3:uid="{C3E968AA-B91C-4239-BDCE-142BEFC6FAFA}" name="YEAR" dataDxfId="13"/>
    <tableColumn id="3" xr3:uid="{E520D6DD-E0C1-4225-A0FF-FE0C560649C8}" name="Total Population" dataDxfId="11"/>
    <tableColumn id="4" xr3:uid="{6792A03E-4E64-434E-A1D9-A84044CE6ACB}" name="population 5-19 Rate " dataDxfId="12"/>
    <tableColumn id="5" xr3:uid="{15A9CF48-E319-4134-A02A-8330FE3D8965}" name="population +15 Rate" dataDxfId="16"/>
    <tableColumn id="6" xr3:uid="{CD3E3482-BB65-439E-8BDC-6B36AAB2FD67}" name="Population aged 5–19" dataDxfId="15">
      <calculatedColumnFormula>Table3[[#This Row],[Total Population]]*(Table3[[#This Row],[population 5-19 Rate ]]/100)</calculatedColumnFormula>
    </tableColumn>
    <tableColumn id="7" xr3:uid="{9FB0780A-F08B-4B04-966E-38FBB11F14AB}" name="Population aged 15+" dataDxfId="14">
      <calculatedColumnFormula>Table3[[#This Row],[Total Population]]*(Table3[[#This Row],[population +15 Rate]]/100)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3566-EC65-491A-99C2-FE395EA5E221}">
  <dimension ref="A1:V133"/>
  <sheetViews>
    <sheetView tabSelected="1" zoomScaleNormal="100" workbookViewId="0">
      <selection activeCell="A2" sqref="A2:A13"/>
    </sheetView>
  </sheetViews>
  <sheetFormatPr defaultRowHeight="15" x14ac:dyDescent="0.25"/>
  <cols>
    <col min="1" max="1" width="20.7109375" style="2" customWidth="1"/>
    <col min="2" max="2" width="8.5703125" customWidth="1"/>
    <col min="3" max="3" width="9.42578125" customWidth="1"/>
    <col min="4" max="4" width="16.5703125" style="1" bestFit="1" customWidth="1"/>
    <col min="5" max="5" width="14.28515625" style="15" customWidth="1"/>
    <col min="6" max="6" width="9.140625" style="3" customWidth="1"/>
    <col min="7" max="7" width="10.28515625" customWidth="1"/>
    <col min="8" max="8" width="14.7109375" bestFit="1" customWidth="1"/>
    <col min="9" max="9" width="13.7109375" bestFit="1" customWidth="1"/>
    <col min="10" max="10" width="14" customWidth="1"/>
    <col min="11" max="11" width="12.5703125" customWidth="1"/>
    <col min="12" max="12" width="14" customWidth="1"/>
    <col min="13" max="13" width="14.42578125" customWidth="1"/>
    <col min="14" max="14" width="11.140625" customWidth="1"/>
    <col min="15" max="15" width="7.7109375" customWidth="1"/>
    <col min="16" max="16" width="7.140625" customWidth="1"/>
    <col min="17" max="17" width="12.42578125" customWidth="1"/>
    <col min="18" max="18" width="13.28515625" customWidth="1"/>
    <col min="19" max="20" width="12" customWidth="1"/>
    <col min="21" max="21" width="12.140625" customWidth="1"/>
    <col min="22" max="22" width="14.42578125" customWidth="1"/>
  </cols>
  <sheetData>
    <row r="1" spans="1:22" x14ac:dyDescent="0.25">
      <c r="A1" s="2" t="s">
        <v>1</v>
      </c>
      <c r="B1" t="s">
        <v>0</v>
      </c>
      <c r="C1" t="s">
        <v>2</v>
      </c>
      <c r="D1" s="1" t="s">
        <v>15</v>
      </c>
      <c r="E1" s="15" t="s">
        <v>16</v>
      </c>
      <c r="F1" s="3" t="s">
        <v>17</v>
      </c>
      <c r="G1" t="s">
        <v>18</v>
      </c>
      <c r="H1" t="s">
        <v>19</v>
      </c>
      <c r="I1" t="s">
        <v>20</v>
      </c>
      <c r="J1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33</v>
      </c>
      <c r="R1" s="6" t="s">
        <v>34</v>
      </c>
      <c r="S1" s="6" t="s">
        <v>35</v>
      </c>
      <c r="T1" s="6" t="s">
        <v>36</v>
      </c>
      <c r="U1" s="6" t="s">
        <v>28</v>
      </c>
      <c r="V1" s="6" t="s">
        <v>37</v>
      </c>
    </row>
    <row r="2" spans="1:22" x14ac:dyDescent="0.25">
      <c r="A2" s="2" t="s">
        <v>11</v>
      </c>
      <c r="B2">
        <v>2014</v>
      </c>
      <c r="C2">
        <v>369</v>
      </c>
      <c r="D2" s="1">
        <f>Table3[[#This Row],[Total Population]]*(Table3[[#This Row],[population +15 Rate]]/100)</f>
        <v>103251</v>
      </c>
      <c r="E2" s="15">
        <f>(Table1[[#This Row],[establishments]]/Table1[[#This Row],[Population +15]])*1000</f>
        <v>3.5738152657117124</v>
      </c>
      <c r="F2">
        <v>29996</v>
      </c>
      <c r="G2" s="15">
        <f>(Table1[[#This Row],[Employed]]/Table1[[#This Row],[Population +15]])*100</f>
        <v>29.051534609834288</v>
      </c>
      <c r="H2">
        <v>4968</v>
      </c>
      <c r="I2">
        <f>Table1[[#This Row],[Unemployed]]+Table1[[#This Row],[Employed]]</f>
        <v>34964</v>
      </c>
      <c r="J2" s="15">
        <f>(Table1[[#This Row],[Unemployed]]/Table1[[#This Row],[Labor Force]])*100</f>
        <v>14.20890058345727</v>
      </c>
      <c r="K2">
        <v>196</v>
      </c>
      <c r="L2">
        <v>41741</v>
      </c>
      <c r="M2">
        <v>1874</v>
      </c>
      <c r="N2" s="15">
        <f>Table1[[#This Row],[Num of Students]]/Table1[[#This Row],[Num of Schools ]]</f>
        <v>212.96428571428572</v>
      </c>
      <c r="O2" s="15">
        <f>Table1[[#This Row],[Number of Classes]]/Table1[[#This Row],[Num of Schools ]]</f>
        <v>9.5612244897959187</v>
      </c>
      <c r="P2" s="15">
        <f>Table1[[#This Row],[Num of Students]]/Table1[[#This Row],[Number of Classes]]</f>
        <v>22.273745997865529</v>
      </c>
      <c r="Q2" s="1">
        <f>Table3[[#This Row],[Total Population]]*(Table3[[#This Row],[population 5-19 Rate ]]/100)</f>
        <v>59349</v>
      </c>
      <c r="R2" s="15">
        <f>Table1[[#This Row],[Num of Students]]/Table1[[#This Row],[Population 5-19]]*100</f>
        <v>70.331429341690679</v>
      </c>
      <c r="S2" s="15">
        <f>Table1[[#This Row],[Num of Schools ]]/Table1[[#This Row],[Population 5-19]]*1000</f>
        <v>3.302498778412442</v>
      </c>
      <c r="T2">
        <v>420</v>
      </c>
      <c r="U2">
        <v>162600</v>
      </c>
      <c r="V2" s="15">
        <f>Table1[[#This Row],[Total Population]]/Table1[[#This Row],[Area ]]</f>
        <v>387.14285714285717</v>
      </c>
    </row>
    <row r="3" spans="1:22" x14ac:dyDescent="0.25">
      <c r="A3" s="2" t="s">
        <v>12</v>
      </c>
      <c r="B3">
        <v>2014</v>
      </c>
      <c r="C3">
        <v>26647</v>
      </c>
      <c r="D3" s="1">
        <f>Table3[[#This Row],[Total Population]]*(Table3[[#This Row],[population +15 Rate]]/100)</f>
        <v>2520721.5</v>
      </c>
      <c r="E3" s="15">
        <f>(Table1[[#This Row],[establishments]]/Table1[[#This Row],[Population +15]])*1000</f>
        <v>10.571179719774676</v>
      </c>
      <c r="F3">
        <v>485104</v>
      </c>
      <c r="G3" s="15">
        <f>(Table1[[#This Row],[Employed]]/Table1[[#This Row],[Population +15]])*100</f>
        <v>19.244648803923798</v>
      </c>
      <c r="H3">
        <v>38433</v>
      </c>
      <c r="I3">
        <f>Table1[[#This Row],[Unemployed]]+Table1[[#This Row],[Employed]]</f>
        <v>523537</v>
      </c>
      <c r="J3" s="15">
        <f>(Table1[[#This Row],[Unemployed]]/Table1[[#This Row],[Labor Force]])*100</f>
        <v>7.3410284277902038</v>
      </c>
      <c r="K3">
        <v>2120</v>
      </c>
      <c r="L3">
        <v>680300</v>
      </c>
      <c r="M3">
        <v>25957</v>
      </c>
      <c r="N3" s="15">
        <f>Table1[[#This Row],[Num of Students]]/Table1[[#This Row],[Num of Schools ]]</f>
        <v>320.89622641509436</v>
      </c>
      <c r="O3" s="15">
        <f>Table1[[#This Row],[Number of Classes]]/Table1[[#This Row],[Num of Schools ]]</f>
        <v>12.243867924528303</v>
      </c>
      <c r="P3" s="15">
        <f>Table1[[#This Row],[Num of Students]]/Table1[[#This Row],[Number of Classes]]</f>
        <v>26.208729822398581</v>
      </c>
      <c r="Q3" s="1">
        <f>Table3[[#This Row],[Total Population]]*(Table3[[#This Row],[population 5-19 Rate ]]/100)</f>
        <v>1162271</v>
      </c>
      <c r="R3" s="15">
        <f>Table1[[#This Row],[Num of Students]]/Table1[[#This Row],[Population 5-19]]*100</f>
        <v>58.531960274325016</v>
      </c>
      <c r="S3" s="15">
        <f>Table1[[#This Row],[Num of Schools ]]/Table1[[#This Row],[Population 5-19]]*1000</f>
        <v>1.8240152253648245</v>
      </c>
      <c r="T3">
        <v>7579</v>
      </c>
      <c r="U3">
        <v>3701500</v>
      </c>
      <c r="V3" s="15">
        <f>Table1[[#This Row],[Total Population]]/Table1[[#This Row],[Area ]]</f>
        <v>488.388969521045</v>
      </c>
    </row>
    <row r="4" spans="1:22" x14ac:dyDescent="0.25">
      <c r="A4" s="2" t="s">
        <v>7</v>
      </c>
      <c r="B4">
        <v>2014</v>
      </c>
      <c r="C4">
        <v>952</v>
      </c>
      <c r="D4" s="1">
        <f>Table3[[#This Row],[Total Population]]*(Table3[[#This Row],[population +15 Rate]]/100)</f>
        <v>106365.59999999999</v>
      </c>
      <c r="E4" s="15">
        <f>(Table1[[#This Row],[establishments]]/Table1[[#This Row],[Population +15]])*1000</f>
        <v>8.9502621148190791</v>
      </c>
      <c r="F4">
        <v>25186</v>
      </c>
      <c r="G4" s="15">
        <f>(Table1[[#This Row],[Employed]]/Table1[[#This Row],[Population +15]])*100</f>
        <v>23.678708153763999</v>
      </c>
      <c r="H4">
        <v>2969</v>
      </c>
      <c r="I4">
        <f>Table1[[#This Row],[Unemployed]]+Table1[[#This Row],[Employed]]</f>
        <v>28155</v>
      </c>
      <c r="J4" s="15">
        <f>(Table1[[#This Row],[Unemployed]]/Table1[[#This Row],[Labor Force]])*100</f>
        <v>10.545196235126976</v>
      </c>
      <c r="K4">
        <v>122</v>
      </c>
      <c r="L4">
        <v>41643</v>
      </c>
      <c r="M4">
        <v>1605</v>
      </c>
      <c r="N4" s="15">
        <f>Table1[[#This Row],[Num of Students]]/Table1[[#This Row],[Num of Schools ]]</f>
        <v>341.3360655737705</v>
      </c>
      <c r="O4" s="15">
        <f>Table1[[#This Row],[Number of Classes]]/Table1[[#This Row],[Num of Schools ]]</f>
        <v>13.155737704918034</v>
      </c>
      <c r="P4" s="15">
        <f>Table1[[#This Row],[Num of Students]]/Table1[[#This Row],[Number of Classes]]</f>
        <v>25.945794392523364</v>
      </c>
      <c r="Q4" s="1">
        <f>Table3[[#This Row],[Total Population]]*(Table3[[#This Row],[population 5-19 Rate ]]/100)</f>
        <v>63089.4</v>
      </c>
      <c r="R4" s="15">
        <f>Table1[[#This Row],[Num of Students]]/Table1[[#This Row],[Population 5-19]]*100</f>
        <v>66.006333869081018</v>
      </c>
      <c r="S4" s="15">
        <f>Table1[[#This Row],[Num of Schools ]]/Table1[[#This Row],[Population 5-19]]*1000</f>
        <v>1.9337638335441452</v>
      </c>
      <c r="T4">
        <v>6900</v>
      </c>
      <c r="U4">
        <v>173800</v>
      </c>
      <c r="V4" s="15">
        <f>Table1[[#This Row],[Total Population]]/Table1[[#This Row],[Area ]]</f>
        <v>25.188405797101449</v>
      </c>
    </row>
    <row r="5" spans="1:22" x14ac:dyDescent="0.25">
      <c r="A5" s="2" t="s">
        <v>4</v>
      </c>
      <c r="B5">
        <v>2014</v>
      </c>
      <c r="C5">
        <v>2506</v>
      </c>
      <c r="D5" s="1">
        <f>Table3[[#This Row],[Total Population]]*(Table3[[#This Row],[population +15 Rate]]/100)</f>
        <v>295230</v>
      </c>
      <c r="E5" s="15">
        <f>(Table1[[#This Row],[establishments]]/Table1[[#This Row],[Population +15]])*1000</f>
        <v>8.4882972597635735</v>
      </c>
      <c r="F5">
        <v>75438</v>
      </c>
      <c r="G5" s="15">
        <f>(Table1[[#This Row],[Employed]]/Table1[[#This Row],[Population +15]])*100</f>
        <v>25.552281272228434</v>
      </c>
      <c r="H5">
        <v>13424</v>
      </c>
      <c r="I5">
        <f>Table1[[#This Row],[Unemployed]]+Table1[[#This Row],[Employed]]</f>
        <v>88862</v>
      </c>
      <c r="J5" s="15">
        <f>(Table1[[#This Row],[Unemployed]]/Table1[[#This Row],[Labor Force]])*100</f>
        <v>15.106569737345547</v>
      </c>
      <c r="K5">
        <v>451</v>
      </c>
      <c r="L5">
        <v>123653</v>
      </c>
      <c r="M5">
        <v>5011</v>
      </c>
      <c r="N5" s="15">
        <f>Table1[[#This Row],[Num of Students]]/Table1[[#This Row],[Num of Schools ]]</f>
        <v>274.17516629711753</v>
      </c>
      <c r="O5" s="15">
        <f>Table1[[#This Row],[Number of Classes]]/Table1[[#This Row],[Num of Schools ]]</f>
        <v>11.110864745011087</v>
      </c>
      <c r="P5" s="15">
        <f>Table1[[#This Row],[Num of Students]]/Table1[[#This Row],[Number of Classes]]</f>
        <v>24.67631211335063</v>
      </c>
      <c r="Q5" s="1">
        <f>Table3[[#This Row],[Total Population]]*(Table3[[#This Row],[population 5-19 Rate ]]/100)</f>
        <v>156244.79999999999</v>
      </c>
      <c r="R5" s="15">
        <f>Table1[[#This Row],[Num of Students]]/Table1[[#This Row],[Population 5-19]]*100</f>
        <v>79.140553797630389</v>
      </c>
      <c r="S5" s="15">
        <f>Table1[[#This Row],[Num of Schools ]]/Table1[[#This Row],[Population 5-19]]*1000</f>
        <v>2.8864960625889631</v>
      </c>
      <c r="T5">
        <v>1119</v>
      </c>
      <c r="U5">
        <v>454200</v>
      </c>
      <c r="V5" s="15">
        <f>Table1[[#This Row],[Total Population]]/Table1[[#This Row],[Area ]]</f>
        <v>405.89812332439681</v>
      </c>
    </row>
    <row r="6" spans="1:22" x14ac:dyDescent="0.25">
      <c r="A6" s="2" t="s">
        <v>3</v>
      </c>
      <c r="B6">
        <v>2014</v>
      </c>
      <c r="C6">
        <v>4942</v>
      </c>
      <c r="D6" s="1">
        <f>Table3[[#This Row],[Total Population]]*(Table3[[#This Row],[population +15 Rate]]/100)</f>
        <v>1057780.3</v>
      </c>
      <c r="E6" s="15">
        <f>(Table1[[#This Row],[establishments]]/Table1[[#This Row],[Population +15]])*1000</f>
        <v>4.6720476832476452</v>
      </c>
      <c r="F6">
        <v>250572</v>
      </c>
      <c r="G6" s="15">
        <f>(Table1[[#This Row],[Employed]]/Table1[[#This Row],[Population +15]])*100</f>
        <v>23.688472927695852</v>
      </c>
      <c r="H6">
        <v>37960</v>
      </c>
      <c r="I6">
        <f>Table1[[#This Row],[Unemployed]]+Table1[[#This Row],[Employed]]</f>
        <v>288532</v>
      </c>
      <c r="J6" s="15">
        <f>(Table1[[#This Row],[Unemployed]]/Table1[[#This Row],[Labor Force]])*100</f>
        <v>13.156253032592572</v>
      </c>
      <c r="K6">
        <v>1230</v>
      </c>
      <c r="L6">
        <v>341685</v>
      </c>
      <c r="M6">
        <v>12980</v>
      </c>
      <c r="N6" s="15">
        <f>Table1[[#This Row],[Num of Students]]/Table1[[#This Row],[Num of Schools ]]</f>
        <v>277.79268292682929</v>
      </c>
      <c r="O6" s="15">
        <f>Table1[[#This Row],[Number of Classes]]/Table1[[#This Row],[Num of Schools ]]</f>
        <v>10.552845528455284</v>
      </c>
      <c r="P6" s="15">
        <f>Table1[[#This Row],[Num of Students]]/Table1[[#This Row],[Number of Classes]]</f>
        <v>26.32395993836672</v>
      </c>
      <c r="Q6" s="1">
        <f>Table3[[#This Row],[Total Population]]*(Table3[[#This Row],[population 5-19 Rate ]]/100)</f>
        <v>573849.89999999991</v>
      </c>
      <c r="R6" s="15">
        <f>Table1[[#This Row],[Num of Students]]/Table1[[#This Row],[Population 5-19]]*100</f>
        <v>59.542573763627047</v>
      </c>
      <c r="S6" s="15">
        <f>Table1[[#This Row],[Num of Schools ]]/Table1[[#This Row],[Population 5-19]]*1000</f>
        <v>2.1434176428365679</v>
      </c>
      <c r="T6">
        <v>1572</v>
      </c>
      <c r="U6">
        <v>1634900</v>
      </c>
      <c r="V6" s="15">
        <f>Table1[[#This Row],[Total Population]]/Table1[[#This Row],[Area ]]</f>
        <v>1040.0127226463105</v>
      </c>
    </row>
    <row r="7" spans="1:22" x14ac:dyDescent="0.25">
      <c r="A7" s="2" t="s">
        <v>10</v>
      </c>
      <c r="B7">
        <v>2014</v>
      </c>
      <c r="C7">
        <v>820</v>
      </c>
      <c r="D7" s="1">
        <f>Table3[[#This Row],[Total Population]]*(Table3[[#This Row],[population +15 Rate]]/100)</f>
        <v>135561</v>
      </c>
      <c r="E7" s="15">
        <f>(Table1[[#This Row],[establishments]]/Table1[[#This Row],[Population +15]])*1000</f>
        <v>6.0489373787446237</v>
      </c>
      <c r="F7">
        <v>39956</v>
      </c>
      <c r="G7" s="15">
        <f>(Table1[[#This Row],[Employed]]/Table1[[#This Row],[Population +15]])*100</f>
        <v>29.474553890868314</v>
      </c>
      <c r="H7">
        <v>5812</v>
      </c>
      <c r="I7">
        <f>Table1[[#This Row],[Unemployed]]+Table1[[#This Row],[Employed]]</f>
        <v>45768</v>
      </c>
      <c r="J7" s="15">
        <f>(Table1[[#This Row],[Unemployed]]/Table1[[#This Row],[Labor Force]])*100</f>
        <v>12.698828876070618</v>
      </c>
      <c r="K7">
        <v>249</v>
      </c>
      <c r="L7">
        <v>55125</v>
      </c>
      <c r="M7">
        <v>2383</v>
      </c>
      <c r="N7" s="15">
        <f>Table1[[#This Row],[Num of Students]]/Table1[[#This Row],[Num of Schools ]]</f>
        <v>221.3855421686747</v>
      </c>
      <c r="O7" s="15">
        <f>Table1[[#This Row],[Number of Classes]]/Table1[[#This Row],[Num of Schools ]]</f>
        <v>9.570281124497992</v>
      </c>
      <c r="P7" s="15">
        <f>Table1[[#This Row],[Num of Students]]/Table1[[#This Row],[Number of Classes]]</f>
        <v>23.132605958875367</v>
      </c>
      <c r="Q7" s="1">
        <f>Table3[[#This Row],[Total Population]]*(Table3[[#This Row],[population 5-19 Rate ]]/100)</f>
        <v>81468.000000000015</v>
      </c>
      <c r="R7" s="15">
        <f>Table1[[#This Row],[Num of Students]]/Table1[[#This Row],[Population 5-19]]*100</f>
        <v>67.664604507291187</v>
      </c>
      <c r="S7" s="15">
        <f>Table1[[#This Row],[Num of Schools ]]/Table1[[#This Row],[Population 5-19]]*1000</f>
        <v>3.0564147886286634</v>
      </c>
      <c r="T7">
        <v>410</v>
      </c>
      <c r="U7">
        <v>219000</v>
      </c>
      <c r="V7" s="15">
        <f>Table1[[#This Row],[Total Population]]/Table1[[#This Row],[Area ]]</f>
        <v>534.14634146341461</v>
      </c>
    </row>
    <row r="8" spans="1:22" x14ac:dyDescent="0.25">
      <c r="A8" s="2" t="s">
        <v>8</v>
      </c>
      <c r="B8">
        <v>2014</v>
      </c>
      <c r="C8">
        <v>1029</v>
      </c>
      <c r="D8" s="1">
        <f>Table3[[#This Row],[Total Population]]*(Table3[[#This Row],[population +15 Rate]]/100)</f>
        <v>186322.49999999997</v>
      </c>
      <c r="E8" s="15">
        <f>(Table1[[#This Row],[establishments]]/Table1[[#This Row],[Population +15]])*1000</f>
        <v>5.5226824457593695</v>
      </c>
      <c r="F8">
        <v>62796</v>
      </c>
      <c r="G8" s="15">
        <f>(Table1[[#This Row],[Employed]]/Table1[[#This Row],[Population +15]])*100</f>
        <v>33.702853922634148</v>
      </c>
      <c r="H8">
        <v>9056</v>
      </c>
      <c r="I8">
        <f>Table1[[#This Row],[Unemployed]]+Table1[[#This Row],[Employed]]</f>
        <v>71852</v>
      </c>
      <c r="J8" s="15">
        <f>(Table1[[#This Row],[Unemployed]]/Table1[[#This Row],[Labor Force]])*100</f>
        <v>12.603685353226076</v>
      </c>
      <c r="K8">
        <v>378</v>
      </c>
      <c r="L8">
        <v>71733</v>
      </c>
      <c r="M8">
        <v>3517</v>
      </c>
      <c r="N8" s="15">
        <f>Table1[[#This Row],[Num of Students]]/Table1[[#This Row],[Num of Schools ]]</f>
        <v>189.76984126984127</v>
      </c>
      <c r="O8" s="15">
        <f>Table1[[#This Row],[Number of Classes]]/Table1[[#This Row],[Num of Schools ]]</f>
        <v>9.3042328042328037</v>
      </c>
      <c r="P8" s="15">
        <f>Table1[[#This Row],[Num of Students]]/Table1[[#This Row],[Number of Classes]]</f>
        <v>20.396076201307935</v>
      </c>
      <c r="Q8" s="1">
        <f>Table3[[#This Row],[Total Population]]*(Table3[[#This Row],[population 5-19 Rate ]]/100)</f>
        <v>96817.5</v>
      </c>
      <c r="R8" s="15">
        <f>Table1[[#This Row],[Num of Students]]/Table1[[#This Row],[Population 5-19]]*100</f>
        <v>74.09094430242466</v>
      </c>
      <c r="S8" s="15">
        <f>Table1[[#This Row],[Num of Schools ]]/Table1[[#This Row],[Population 5-19]]*1000</f>
        <v>3.9042528468510342</v>
      </c>
      <c r="T8">
        <v>3495</v>
      </c>
      <c r="U8">
        <v>292500</v>
      </c>
      <c r="V8" s="15">
        <f>Table1[[#This Row],[Total Population]]/Table1[[#This Row],[Area ]]</f>
        <v>83.690987124463518</v>
      </c>
    </row>
    <row r="9" spans="1:22" x14ac:dyDescent="0.25">
      <c r="A9" s="2" t="s">
        <v>14</v>
      </c>
      <c r="B9">
        <v>2014</v>
      </c>
      <c r="C9">
        <v>713</v>
      </c>
      <c r="D9" s="1">
        <f>Table3[[#This Row],[Total Population]]*(Table3[[#This Row],[population +15 Rate]]/100)</f>
        <v>86914.3</v>
      </c>
      <c r="E9" s="15">
        <f>(Table1[[#This Row],[establishments]]/Table1[[#This Row],[Population +15]])*1000</f>
        <v>8.2034832012683765</v>
      </c>
      <c r="F9">
        <v>22846</v>
      </c>
      <c r="G9" s="15">
        <f>(Table1[[#This Row],[Employed]]/Table1[[#This Row],[Population +15]])*100</f>
        <v>26.285663003671434</v>
      </c>
      <c r="H9">
        <v>4136</v>
      </c>
      <c r="I9">
        <f>Table1[[#This Row],[Unemployed]]+Table1[[#This Row],[Employed]]</f>
        <v>26982</v>
      </c>
      <c r="J9" s="15">
        <f>(Table1[[#This Row],[Unemployed]]/Table1[[#This Row],[Labor Force]])*100</f>
        <v>15.328737676969832</v>
      </c>
      <c r="K9">
        <v>239</v>
      </c>
      <c r="L9">
        <v>35257</v>
      </c>
      <c r="M9">
        <v>1966</v>
      </c>
      <c r="N9" s="15">
        <f>Table1[[#This Row],[Num of Students]]/Table1[[#This Row],[Num of Schools ]]</f>
        <v>147.51882845188285</v>
      </c>
      <c r="O9" s="15">
        <f>Table1[[#This Row],[Number of Classes]]/Table1[[#This Row],[Num of Schools ]]</f>
        <v>8.2259414225941416</v>
      </c>
      <c r="P9" s="15">
        <f>Table1[[#This Row],[Num of Students]]/Table1[[#This Row],[Number of Classes]]</f>
        <v>17.933367243133265</v>
      </c>
      <c r="Q9" s="1">
        <f>Table3[[#This Row],[Total Population]]*(Table3[[#This Row],[population 5-19 Rate ]]/100)</f>
        <v>45786.399999999994</v>
      </c>
      <c r="R9" s="15">
        <f>Table1[[#This Row],[Num of Students]]/Table1[[#This Row],[Population 5-19]]*100</f>
        <v>77.003214928450376</v>
      </c>
      <c r="S9" s="15">
        <f>Table1[[#This Row],[Num of Schools ]]/Table1[[#This Row],[Population 5-19]]*1000</f>
        <v>5.2198906225429393</v>
      </c>
      <c r="T9">
        <v>32832</v>
      </c>
      <c r="U9">
        <v>133100</v>
      </c>
      <c r="V9" s="15">
        <f>Table1[[#This Row],[Total Population]]/Table1[[#This Row],[Area ]]</f>
        <v>4.0539717348927873</v>
      </c>
    </row>
    <row r="10" spans="1:22" x14ac:dyDescent="0.25">
      <c r="A10" s="2" t="s">
        <v>13</v>
      </c>
      <c r="B10">
        <v>2014</v>
      </c>
      <c r="C10">
        <v>707</v>
      </c>
      <c r="D10" s="1">
        <f>Table3[[#This Row],[Total Population]]*(Table3[[#This Row],[population +15 Rate]]/100)</f>
        <v>115542.8</v>
      </c>
      <c r="E10" s="15">
        <f>(Table1[[#This Row],[establishments]]/Table1[[#This Row],[Population +15]])*1000</f>
        <v>6.1189446681229809</v>
      </c>
      <c r="F10">
        <v>37609</v>
      </c>
      <c r="G10" s="15">
        <f>(Table1[[#This Row],[Employed]]/Table1[[#This Row],[Population +15]])*100</f>
        <v>32.549843001900591</v>
      </c>
      <c r="H10">
        <v>5206</v>
      </c>
      <c r="I10">
        <f>Table1[[#This Row],[Unemployed]]+Table1[[#This Row],[Employed]]</f>
        <v>42815</v>
      </c>
      <c r="J10" s="15">
        <f>(Table1[[#This Row],[Unemployed]]/Table1[[#This Row],[Labor Force]])*100</f>
        <v>12.159289968468995</v>
      </c>
      <c r="K10">
        <v>199</v>
      </c>
      <c r="L10">
        <v>48024</v>
      </c>
      <c r="M10">
        <v>2119</v>
      </c>
      <c r="N10" s="15">
        <f>Table1[[#This Row],[Num of Students]]/Table1[[#This Row],[Num of Schools ]]</f>
        <v>241.32663316582915</v>
      </c>
      <c r="O10" s="15">
        <f>Table1[[#This Row],[Number of Classes]]/Table1[[#This Row],[Num of Schools ]]</f>
        <v>10.64824120603015</v>
      </c>
      <c r="P10" s="15">
        <f>Table1[[#This Row],[Num of Students]]/Table1[[#This Row],[Number of Classes]]</f>
        <v>22.663520528551203</v>
      </c>
      <c r="Q10" s="1">
        <f>Table3[[#This Row],[Total Population]]*(Table3[[#This Row],[population 5-19 Rate ]]/100)</f>
        <v>60131.199999999997</v>
      </c>
      <c r="R10" s="15">
        <f>Table1[[#This Row],[Num of Students]]/Table1[[#This Row],[Population 5-19]]*100</f>
        <v>79.865361077111388</v>
      </c>
      <c r="S10" s="15">
        <f>Table1[[#This Row],[Num of Schools ]]/Table1[[#This Row],[Population 5-19]]*1000</f>
        <v>3.3094300462987603</v>
      </c>
      <c r="T10">
        <v>940</v>
      </c>
      <c r="U10">
        <v>174800</v>
      </c>
      <c r="V10" s="15">
        <f>Table1[[#This Row],[Total Population]]/Table1[[#This Row],[Area ]]</f>
        <v>185.95744680851064</v>
      </c>
    </row>
    <row r="11" spans="1:22" x14ac:dyDescent="0.25">
      <c r="A11" s="2" t="s">
        <v>9</v>
      </c>
      <c r="B11">
        <v>2014</v>
      </c>
      <c r="C11">
        <v>925</v>
      </c>
      <c r="D11" s="1">
        <f>Table3[[#This Row],[Total Population]]*(Table3[[#This Row],[population +15 Rate]]/100)</f>
        <v>310896</v>
      </c>
      <c r="E11" s="15">
        <f>(Table1[[#This Row],[establishments]]/Table1[[#This Row],[Population +15]])*1000</f>
        <v>2.9752714734187635</v>
      </c>
      <c r="F11">
        <v>63321</v>
      </c>
      <c r="G11" s="15">
        <f>(Table1[[#This Row],[Employed]]/Table1[[#This Row],[Population +15]])*100</f>
        <v>20.367261077659411</v>
      </c>
      <c r="H11">
        <v>11135</v>
      </c>
      <c r="I11">
        <f>Table1[[#This Row],[Unemployed]]+Table1[[#This Row],[Employed]]</f>
        <v>74456</v>
      </c>
      <c r="J11" s="15">
        <f>(Table1[[#This Row],[Unemployed]]/Table1[[#This Row],[Labor Force]])*100</f>
        <v>14.95514129150102</v>
      </c>
      <c r="K11">
        <v>558</v>
      </c>
      <c r="L11">
        <v>117504</v>
      </c>
      <c r="M11">
        <v>5469</v>
      </c>
      <c r="N11" s="15">
        <f>Table1[[#This Row],[Num of Students]]/Table1[[#This Row],[Num of Schools ]]</f>
        <v>210.58064516129033</v>
      </c>
      <c r="O11" s="15">
        <f>Table1[[#This Row],[Number of Classes]]/Table1[[#This Row],[Num of Schools ]]</f>
        <v>9.801075268817204</v>
      </c>
      <c r="P11" s="15">
        <f>Table1[[#This Row],[Num of Students]]/Table1[[#This Row],[Number of Classes]]</f>
        <v>21.48546352166758</v>
      </c>
      <c r="Q11" s="1">
        <f>Table3[[#This Row],[Total Population]]*(Table3[[#This Row],[population 5-19 Rate ]]/100)</f>
        <v>186944</v>
      </c>
      <c r="R11" s="15">
        <f>Table1[[#This Row],[Num of Students]]/Table1[[#This Row],[Population 5-19]]*100</f>
        <v>62.855186579938383</v>
      </c>
      <c r="S11" s="15">
        <f>Table1[[#This Row],[Num of Schools ]]/Table1[[#This Row],[Population 5-19]]*1000</f>
        <v>2.9848510783978086</v>
      </c>
      <c r="T11">
        <v>26541</v>
      </c>
      <c r="U11">
        <v>508000</v>
      </c>
      <c r="V11" s="15">
        <f>Table1[[#This Row],[Total Population]]/Table1[[#This Row],[Area ]]</f>
        <v>19.140198183941827</v>
      </c>
    </row>
    <row r="12" spans="1:22" x14ac:dyDescent="0.25">
      <c r="A12" s="2" t="s">
        <v>6</v>
      </c>
      <c r="B12">
        <v>2014</v>
      </c>
      <c r="C12">
        <v>273</v>
      </c>
      <c r="D12" s="1">
        <f>Table3[[#This Row],[Total Population]]*(Table3[[#This Row],[population +15 Rate]]/100)</f>
        <v>55562.499999999993</v>
      </c>
      <c r="E12" s="15">
        <f>(Table1[[#This Row],[establishments]]/Table1[[#This Row],[Population +15]])*1000</f>
        <v>4.9133858267716537</v>
      </c>
      <c r="F12">
        <v>20685</v>
      </c>
      <c r="G12" s="15">
        <f>(Table1[[#This Row],[Employed]]/Table1[[#This Row],[Population +15]])*100</f>
        <v>37.228346456692918</v>
      </c>
      <c r="H12">
        <v>3726</v>
      </c>
      <c r="I12">
        <f>Table1[[#This Row],[Unemployed]]+Table1[[#This Row],[Employed]]</f>
        <v>24411</v>
      </c>
      <c r="J12" s="15">
        <f>(Table1[[#This Row],[Unemployed]]/Table1[[#This Row],[Labor Force]])*100</f>
        <v>15.263610667322109</v>
      </c>
      <c r="K12">
        <v>148</v>
      </c>
      <c r="L12">
        <v>27043</v>
      </c>
      <c r="M12">
        <v>1275</v>
      </c>
      <c r="N12" s="15">
        <f>Table1[[#This Row],[Num of Students]]/Table1[[#This Row],[Num of Schools ]]</f>
        <v>182.72297297297297</v>
      </c>
      <c r="O12" s="15">
        <f>Table1[[#This Row],[Number of Classes]]/Table1[[#This Row],[Num of Schools ]]</f>
        <v>8.6148648648648649</v>
      </c>
      <c r="P12" s="15">
        <f>Table1[[#This Row],[Num of Students]]/Table1[[#This Row],[Number of Classes]]</f>
        <v>21.210196078431373</v>
      </c>
      <c r="Q12" s="1">
        <f>Table3[[#This Row],[Total Population]]*(Table3[[#This Row],[population 5-19 Rate ]]/100)</f>
        <v>30937.200000000004</v>
      </c>
      <c r="R12" s="15">
        <f>Table1[[#This Row],[Num of Students]]/Table1[[#This Row],[Population 5-19]]*100</f>
        <v>87.412564808709249</v>
      </c>
      <c r="S12" s="15">
        <f>Table1[[#This Row],[Num of Schools ]]/Table1[[#This Row],[Population 5-19]]*1000</f>
        <v>4.7838847730240612</v>
      </c>
      <c r="T12">
        <v>2209</v>
      </c>
      <c r="U12">
        <v>88900</v>
      </c>
      <c r="V12" s="15">
        <f>Table1[[#This Row],[Total Population]]/Table1[[#This Row],[Area ]]</f>
        <v>40.244454504300592</v>
      </c>
    </row>
    <row r="13" spans="1:22" x14ac:dyDescent="0.25">
      <c r="A13" s="2" t="s">
        <v>5</v>
      </c>
      <c r="B13">
        <v>2014</v>
      </c>
      <c r="C13">
        <v>3556</v>
      </c>
      <c r="D13" s="1">
        <f>Table3[[#This Row],[Total Population]]*(Table3[[#This Row],[population +15 Rate]]/100)</f>
        <v>798023.09999999986</v>
      </c>
      <c r="E13" s="15">
        <f>(Table1[[#This Row],[establishments]]/Table1[[#This Row],[Population +15]])*1000</f>
        <v>4.4560113610746361</v>
      </c>
      <c r="F13">
        <v>173179</v>
      </c>
      <c r="G13" s="15">
        <f>(Table1[[#This Row],[Employed]]/Table1[[#This Row],[Population +15]])*100</f>
        <v>21.701000885813961</v>
      </c>
      <c r="H13">
        <v>19648</v>
      </c>
      <c r="I13">
        <f>Table1[[#This Row],[Unemployed]]+Table1[[#This Row],[Employed]]</f>
        <v>192827</v>
      </c>
      <c r="J13" s="15">
        <f>(Table1[[#This Row],[Unemployed]]/Table1[[#This Row],[Labor Force]])*100</f>
        <v>10.189444424276683</v>
      </c>
      <c r="K13">
        <v>724</v>
      </c>
      <c r="L13">
        <v>263255</v>
      </c>
      <c r="M13">
        <v>8834</v>
      </c>
      <c r="N13" s="15">
        <f>Table1[[#This Row],[Num of Students]]/Table1[[#This Row],[Num of Schools ]]</f>
        <v>363.61187845303868</v>
      </c>
      <c r="O13" s="15">
        <f>Table1[[#This Row],[Number of Classes]]/Table1[[#This Row],[Num of Schools ]]</f>
        <v>12.201657458563536</v>
      </c>
      <c r="P13" s="15">
        <f>Table1[[#This Row],[Num of Students]]/Table1[[#This Row],[Number of Classes]]</f>
        <v>29.800203758206926</v>
      </c>
      <c r="Q13" s="1">
        <f>Table3[[#This Row],[Total Population]]*(Table3[[#This Row],[population 5-19 Rate ]]/100)</f>
        <v>460155.5</v>
      </c>
      <c r="R13" s="15">
        <f>Table1[[#This Row],[Num of Students]]/Table1[[#This Row],[Population 5-19]]*100</f>
        <v>57.210008355870997</v>
      </c>
      <c r="S13" s="15">
        <f>Table1[[#This Row],[Num of Schools ]]/Table1[[#This Row],[Population 5-19]]*1000</f>
        <v>1.5733811722341688</v>
      </c>
      <c r="T13">
        <v>4761</v>
      </c>
      <c r="U13">
        <v>1260700</v>
      </c>
      <c r="V13" s="15">
        <f>Table1[[#This Row],[Total Population]]/Table1[[#This Row],[Area ]]</f>
        <v>264.79731148918296</v>
      </c>
    </row>
    <row r="14" spans="1:22" x14ac:dyDescent="0.25">
      <c r="A14" s="2" t="s">
        <v>11</v>
      </c>
      <c r="B14">
        <v>2015</v>
      </c>
      <c r="C14">
        <v>518</v>
      </c>
      <c r="D14" s="1">
        <f>Table3[[#This Row],[Total Population]]*(Table3[[#This Row],[population +15 Rate]]/100)</f>
        <v>109668.6</v>
      </c>
      <c r="E14" s="15">
        <f>(Table1[[#This Row],[establishments]]/Table1[[#This Row],[Population +15]])*1000</f>
        <v>4.7233209870464288</v>
      </c>
      <c r="F14">
        <v>34270</v>
      </c>
      <c r="G14" s="15">
        <f>(Table1[[#This Row],[Employed]]/Table1[[#This Row],[Population +15]])*100</f>
        <v>31.248689232834192</v>
      </c>
      <c r="H14">
        <v>5607</v>
      </c>
      <c r="I14">
        <f>Table1[[#This Row],[Unemployed]]+Table1[[#This Row],[Employed]]</f>
        <v>39877</v>
      </c>
      <c r="J14" s="15">
        <f>(Table1[[#This Row],[Unemployed]]/Table1[[#This Row],[Labor Force]])*100</f>
        <v>14.060736765554079</v>
      </c>
      <c r="K14">
        <v>208</v>
      </c>
      <c r="L14">
        <v>40906</v>
      </c>
      <c r="M14">
        <v>1967</v>
      </c>
      <c r="N14" s="15">
        <f>Table1[[#This Row],[Num of Students]]/Table1[[#This Row],[Num of Schools ]]</f>
        <v>196.66346153846155</v>
      </c>
      <c r="O14" s="15">
        <f>Table1[[#This Row],[Number of Classes]]/Table1[[#This Row],[Num of Schools ]]</f>
        <v>9.4567307692307701</v>
      </c>
      <c r="P14" s="15">
        <f>Table1[[#This Row],[Num of Students]]/Table1[[#This Row],[Number of Classes]]</f>
        <v>20.796136248093543</v>
      </c>
      <c r="Q14" s="1">
        <f>Table3[[#This Row],[Total Population]]*(Table3[[#This Row],[population 5-19 Rate ]]/100)</f>
        <v>65695.200000000012</v>
      </c>
      <c r="R14" s="15">
        <f>Table1[[#This Row],[Num of Students]]/Table1[[#This Row],[Population 5-19]]*100</f>
        <v>62.26634518199198</v>
      </c>
      <c r="S14" s="15">
        <f>Table1[[#This Row],[Num of Schools ]]/Table1[[#This Row],[Population 5-19]]*1000</f>
        <v>3.1661369476004331</v>
      </c>
      <c r="T14">
        <v>420</v>
      </c>
      <c r="U14">
        <v>176600</v>
      </c>
      <c r="V14" s="15">
        <f>Table1[[#This Row],[Total Population]]/Table1[[#This Row],[Area ]]</f>
        <v>420.47619047619048</v>
      </c>
    </row>
    <row r="15" spans="1:22" x14ac:dyDescent="0.25">
      <c r="A15" s="2" t="s">
        <v>12</v>
      </c>
      <c r="B15">
        <v>2015</v>
      </c>
      <c r="C15">
        <v>27014</v>
      </c>
      <c r="D15" s="1">
        <f>Table3[[#This Row],[Total Population]]*(Table3[[#This Row],[population +15 Rate]]/100)</f>
        <v>2773179</v>
      </c>
      <c r="E15" s="15">
        <f>(Table1[[#This Row],[establishments]]/Table1[[#This Row],[Population +15]])*1000</f>
        <v>9.7411670865818625</v>
      </c>
      <c r="F15">
        <v>518499</v>
      </c>
      <c r="G15" s="15">
        <f>(Table1[[#This Row],[Employed]]/Table1[[#This Row],[Population +15]])*100</f>
        <v>18.696917869347775</v>
      </c>
      <c r="H15">
        <v>67288</v>
      </c>
      <c r="I15">
        <f>Table1[[#This Row],[Unemployed]]+Table1[[#This Row],[Employed]]</f>
        <v>585787</v>
      </c>
      <c r="J15" s="15">
        <f>(Table1[[#This Row],[Unemployed]]/Table1[[#This Row],[Labor Force]])*100</f>
        <v>11.486769081594504</v>
      </c>
      <c r="K15">
        <v>2190</v>
      </c>
      <c r="L15">
        <v>692047</v>
      </c>
      <c r="M15">
        <v>26757</v>
      </c>
      <c r="N15" s="15">
        <f>Table1[[#This Row],[Num of Students]]/Table1[[#This Row],[Num of Schools ]]</f>
        <v>316.00319634703197</v>
      </c>
      <c r="O15" s="15">
        <f>Table1[[#This Row],[Number of Classes]]/Table1[[#This Row],[Num of Schools ]]</f>
        <v>12.217808219178082</v>
      </c>
      <c r="P15" s="15">
        <f>Table1[[#This Row],[Num of Students]]/Table1[[#This Row],[Number of Classes]]</f>
        <v>25.864147699667377</v>
      </c>
      <c r="Q15" s="1">
        <f>Table3[[#This Row],[Total Population]]*(Table3[[#This Row],[population 5-19 Rate ]]/100)</f>
        <v>1294150.2</v>
      </c>
      <c r="R15" s="15">
        <f>Table1[[#This Row],[Num of Students]]/Table1[[#This Row],[Population 5-19]]*100</f>
        <v>53.475013951239973</v>
      </c>
      <c r="S15" s="15">
        <f>Table1[[#This Row],[Num of Schools ]]/Table1[[#This Row],[Population 5-19]]*1000</f>
        <v>1.6922301599922482</v>
      </c>
      <c r="T15">
        <v>7579</v>
      </c>
      <c r="U15">
        <v>4019100</v>
      </c>
      <c r="V15" s="15">
        <f>Table1[[#This Row],[Total Population]]/Table1[[#This Row],[Area ]]</f>
        <v>530.29423406781893</v>
      </c>
    </row>
    <row r="16" spans="1:22" x14ac:dyDescent="0.25">
      <c r="A16" s="2" t="s">
        <v>7</v>
      </c>
      <c r="B16">
        <v>2015</v>
      </c>
      <c r="C16">
        <v>965</v>
      </c>
      <c r="D16" s="1">
        <f>Table3[[#This Row],[Total Population]]*(Table3[[#This Row],[population +15 Rate]]/100)</f>
        <v>119069.7</v>
      </c>
      <c r="E16" s="15">
        <f>(Table1[[#This Row],[establishments]]/Table1[[#This Row],[Population +15]])*1000</f>
        <v>8.1044967779376282</v>
      </c>
      <c r="F16">
        <v>25797</v>
      </c>
      <c r="G16" s="15">
        <f>(Table1[[#This Row],[Employed]]/Table1[[#This Row],[Population +15]])*100</f>
        <v>21.665461490202798</v>
      </c>
      <c r="H16">
        <v>3750</v>
      </c>
      <c r="I16">
        <f>Table1[[#This Row],[Unemployed]]+Table1[[#This Row],[Employed]]</f>
        <v>29547</v>
      </c>
      <c r="J16" s="15">
        <f>(Table1[[#This Row],[Unemployed]]/Table1[[#This Row],[Labor Force]])*100</f>
        <v>12.691643821707787</v>
      </c>
      <c r="K16">
        <v>123</v>
      </c>
      <c r="L16">
        <v>42530</v>
      </c>
      <c r="M16">
        <v>1667</v>
      </c>
      <c r="N16" s="15">
        <f>Table1[[#This Row],[Num of Students]]/Table1[[#This Row],[Num of Schools ]]</f>
        <v>345.77235772357722</v>
      </c>
      <c r="O16" s="15">
        <f>Table1[[#This Row],[Number of Classes]]/Table1[[#This Row],[Num of Schools ]]</f>
        <v>13.552845528455284</v>
      </c>
      <c r="P16" s="15">
        <f>Table1[[#This Row],[Num of Students]]/Table1[[#This Row],[Number of Classes]]</f>
        <v>25.512897420515898</v>
      </c>
      <c r="Q16" s="1">
        <f>Table3[[#This Row],[Total Population]]*(Table3[[#This Row],[population 5-19 Rate ]]/100)</f>
        <v>67365.900000000009</v>
      </c>
      <c r="R16" s="15">
        <f>Table1[[#This Row],[Num of Students]]/Table1[[#This Row],[Population 5-19]]*100</f>
        <v>63.132831298921253</v>
      </c>
      <c r="S16" s="15">
        <f>Table1[[#This Row],[Num of Schools ]]/Table1[[#This Row],[Population 5-19]]*1000</f>
        <v>1.8258495767146283</v>
      </c>
      <c r="T16">
        <v>6900</v>
      </c>
      <c r="U16">
        <v>188700</v>
      </c>
      <c r="V16" s="15">
        <f>Table1[[#This Row],[Total Population]]/Table1[[#This Row],[Area ]]</f>
        <v>27.347826086956523</v>
      </c>
    </row>
    <row r="17" spans="1:22" x14ac:dyDescent="0.25">
      <c r="A17" s="2" t="s">
        <v>4</v>
      </c>
      <c r="B17">
        <v>2015</v>
      </c>
      <c r="C17">
        <v>2395</v>
      </c>
      <c r="D17" s="1">
        <f>Table3[[#This Row],[Total Population]]*(Table3[[#This Row],[population +15 Rate]]/100)</f>
        <v>323966.69999999995</v>
      </c>
      <c r="E17" s="15">
        <f>(Table1[[#This Row],[establishments]]/Table1[[#This Row],[Population +15]])*1000</f>
        <v>7.3927351175290559</v>
      </c>
      <c r="F17">
        <v>90313</v>
      </c>
      <c r="G17" s="15">
        <f>(Table1[[#This Row],[Employed]]/Table1[[#This Row],[Population +15]])*100</f>
        <v>27.877247877636812</v>
      </c>
      <c r="H17">
        <v>12613</v>
      </c>
      <c r="I17">
        <f>Table1[[#This Row],[Unemployed]]+Table1[[#This Row],[Employed]]</f>
        <v>102926</v>
      </c>
      <c r="J17" s="15">
        <f>(Table1[[#This Row],[Unemployed]]/Table1[[#This Row],[Labor Force]])*100</f>
        <v>12.254435225307503</v>
      </c>
      <c r="K17">
        <v>473</v>
      </c>
      <c r="L17">
        <v>126815</v>
      </c>
      <c r="M17">
        <v>5324</v>
      </c>
      <c r="N17" s="15">
        <f>Table1[[#This Row],[Num of Students]]/Table1[[#This Row],[Num of Schools ]]</f>
        <v>268.107822410148</v>
      </c>
      <c r="O17" s="15">
        <f>Table1[[#This Row],[Number of Classes]]/Table1[[#This Row],[Num of Schools ]]</f>
        <v>11.255813953488373</v>
      </c>
      <c r="P17" s="15">
        <f>Table1[[#This Row],[Num of Students]]/Table1[[#This Row],[Number of Classes]]</f>
        <v>23.819496619083395</v>
      </c>
      <c r="Q17" s="1">
        <f>Table3[[#This Row],[Total Population]]*(Table3[[#This Row],[population 5-19 Rate ]]/100)</f>
        <v>170119.5</v>
      </c>
      <c r="R17" s="15">
        <f>Table1[[#This Row],[Num of Students]]/Table1[[#This Row],[Population 5-19]]*100</f>
        <v>74.544658313714777</v>
      </c>
      <c r="S17" s="15">
        <f>Table1[[#This Row],[Num of Schools ]]/Table1[[#This Row],[Population 5-19]]*1000</f>
        <v>2.7803984845946523</v>
      </c>
      <c r="T17">
        <v>1119</v>
      </c>
      <c r="U17">
        <v>493100</v>
      </c>
      <c r="V17" s="15">
        <f>Table1[[#This Row],[Total Population]]/Table1[[#This Row],[Area ]]</f>
        <v>440.66130473637173</v>
      </c>
    </row>
    <row r="18" spans="1:22" x14ac:dyDescent="0.25">
      <c r="A18" s="2" t="s">
        <v>3</v>
      </c>
      <c r="B18">
        <v>2015</v>
      </c>
      <c r="C18">
        <v>4911</v>
      </c>
      <c r="D18" s="1">
        <f>Table3[[#This Row],[Total Population]]*(Table3[[#This Row],[population +15 Rate]]/100)</f>
        <v>1160980.8</v>
      </c>
      <c r="E18" s="15">
        <f>(Table1[[#This Row],[establishments]]/Table1[[#This Row],[Population +15]])*1000</f>
        <v>4.230044114424631</v>
      </c>
      <c r="F18">
        <v>279991</v>
      </c>
      <c r="G18" s="15">
        <f>(Table1[[#This Row],[Employed]]/Table1[[#This Row],[Population +15]])*100</f>
        <v>24.116764032617937</v>
      </c>
      <c r="H18">
        <v>45684</v>
      </c>
      <c r="I18">
        <f>Table1[[#This Row],[Unemployed]]+Table1[[#This Row],[Employed]]</f>
        <v>325675</v>
      </c>
      <c r="J18" s="15">
        <f>(Table1[[#This Row],[Unemployed]]/Table1[[#This Row],[Labor Force]])*100</f>
        <v>14.02748138481615</v>
      </c>
      <c r="K18">
        <v>1244</v>
      </c>
      <c r="L18">
        <v>342333</v>
      </c>
      <c r="M18">
        <v>13319</v>
      </c>
      <c r="N18" s="15">
        <f>Table1[[#This Row],[Num of Students]]/Table1[[#This Row],[Num of Schools ]]</f>
        <v>275.18729903536979</v>
      </c>
      <c r="O18" s="15">
        <f>Table1[[#This Row],[Number of Classes]]/Table1[[#This Row],[Num of Schools ]]</f>
        <v>10.706591639871382</v>
      </c>
      <c r="P18" s="15">
        <f>Table1[[#This Row],[Num of Students]]/Table1[[#This Row],[Number of Classes]]</f>
        <v>25.702605300698252</v>
      </c>
      <c r="Q18" s="1">
        <f>Table3[[#This Row],[Total Population]]*(Table3[[#This Row],[population 5-19 Rate ]]/100)</f>
        <v>623095.20000000007</v>
      </c>
      <c r="R18" s="15">
        <f>Table1[[#This Row],[Num of Students]]/Table1[[#This Row],[Population 5-19]]*100</f>
        <v>54.940721738828991</v>
      </c>
      <c r="S18" s="15">
        <f>Table1[[#This Row],[Num of Schools ]]/Table1[[#This Row],[Population 5-19]]*1000</f>
        <v>1.9964846463269175</v>
      </c>
      <c r="T18">
        <v>1572</v>
      </c>
      <c r="U18">
        <v>1775200</v>
      </c>
      <c r="V18" s="15">
        <f>Table1[[#This Row],[Total Population]]/Table1[[#This Row],[Area ]]</f>
        <v>1129.262086513995</v>
      </c>
    </row>
    <row r="19" spans="1:22" x14ac:dyDescent="0.25">
      <c r="A19" s="2" t="s">
        <v>10</v>
      </c>
      <c r="B19">
        <v>2015</v>
      </c>
      <c r="C19">
        <v>836</v>
      </c>
      <c r="D19" s="1">
        <f>Table3[[#This Row],[Total Population]]*(Table3[[#This Row],[population +15 Rate]]/100)</f>
        <v>153078.79999999999</v>
      </c>
      <c r="E19" s="15">
        <f>(Table1[[#This Row],[establishments]]/Table1[[#This Row],[Population +15]])*1000</f>
        <v>5.4612395707308918</v>
      </c>
      <c r="F19">
        <v>44278</v>
      </c>
      <c r="G19" s="15">
        <f>(Table1[[#This Row],[Employed]]/Table1[[#This Row],[Population +15]])*100</f>
        <v>28.924971975217993</v>
      </c>
      <c r="H19">
        <v>5952</v>
      </c>
      <c r="I19">
        <f>Table1[[#This Row],[Unemployed]]+Table1[[#This Row],[Employed]]</f>
        <v>50230</v>
      </c>
      <c r="J19" s="15">
        <f>(Table1[[#This Row],[Unemployed]]/Table1[[#This Row],[Labor Force]])*100</f>
        <v>11.849492335257814</v>
      </c>
      <c r="K19">
        <v>267</v>
      </c>
      <c r="L19">
        <v>56211</v>
      </c>
      <c r="M19">
        <v>2457</v>
      </c>
      <c r="N19" s="15">
        <f>Table1[[#This Row],[Num of Students]]/Table1[[#This Row],[Num of Schools ]]</f>
        <v>210.52808988764045</v>
      </c>
      <c r="O19" s="15">
        <f>Table1[[#This Row],[Number of Classes]]/Table1[[#This Row],[Num of Schools ]]</f>
        <v>9.2022471910112351</v>
      </c>
      <c r="P19" s="15">
        <f>Table1[[#This Row],[Num of Students]]/Table1[[#This Row],[Number of Classes]]</f>
        <v>22.877899877899878</v>
      </c>
      <c r="Q19" s="1">
        <f>Table3[[#This Row],[Total Population]]*(Table3[[#This Row],[population 5-19 Rate ]]/100)</f>
        <v>83670.400000000009</v>
      </c>
      <c r="R19" s="15">
        <f>Table1[[#This Row],[Num of Students]]/Table1[[#This Row],[Population 5-19]]*100</f>
        <v>67.181464412743324</v>
      </c>
      <c r="S19" s="15">
        <f>Table1[[#This Row],[Num of Schools ]]/Table1[[#This Row],[Population 5-19]]*1000</f>
        <v>3.1910926683749565</v>
      </c>
      <c r="T19">
        <v>410</v>
      </c>
      <c r="U19">
        <v>237700</v>
      </c>
      <c r="V19" s="15">
        <f>Table1[[#This Row],[Total Population]]/Table1[[#This Row],[Area ]]</f>
        <v>579.7560975609756</v>
      </c>
    </row>
    <row r="20" spans="1:22" x14ac:dyDescent="0.25">
      <c r="A20" s="2" t="s">
        <v>8</v>
      </c>
      <c r="B20">
        <v>2015</v>
      </c>
      <c r="C20">
        <v>1004</v>
      </c>
      <c r="D20" s="1">
        <f>Table3[[#This Row],[Total Population]]*(Table3[[#This Row],[population +15 Rate]]/100)</f>
        <v>202247.5</v>
      </c>
      <c r="E20" s="15">
        <f>(Table1[[#This Row],[establishments]]/Table1[[#This Row],[Population +15]])*1000</f>
        <v>4.964214638005414</v>
      </c>
      <c r="F20">
        <v>63725</v>
      </c>
      <c r="G20" s="15">
        <f>(Table1[[#This Row],[Employed]]/Table1[[#This Row],[Population +15]])*100</f>
        <v>31.508424084352093</v>
      </c>
      <c r="H20">
        <v>11169</v>
      </c>
      <c r="I20">
        <f>Table1[[#This Row],[Unemployed]]+Table1[[#This Row],[Employed]]</f>
        <v>74894</v>
      </c>
      <c r="J20" s="15">
        <f>(Table1[[#This Row],[Unemployed]]/Table1[[#This Row],[Labor Force]])*100</f>
        <v>14.913077149037306</v>
      </c>
      <c r="K20">
        <v>392</v>
      </c>
      <c r="L20">
        <v>72965</v>
      </c>
      <c r="M20">
        <v>3607</v>
      </c>
      <c r="N20" s="15">
        <f>Table1[[#This Row],[Num of Students]]/Table1[[#This Row],[Num of Schools ]]</f>
        <v>186.13520408163265</v>
      </c>
      <c r="O20" s="15">
        <f>Table1[[#This Row],[Number of Classes]]/Table1[[#This Row],[Num of Schools ]]</f>
        <v>9.2015306122448983</v>
      </c>
      <c r="P20" s="15">
        <f>Table1[[#This Row],[Num of Students]]/Table1[[#This Row],[Number of Classes]]</f>
        <v>20.228721929581368</v>
      </c>
      <c r="Q20" s="1">
        <f>Table3[[#This Row],[Total Population]]*(Table3[[#This Row],[population 5-19 Rate ]]/100)</f>
        <v>105092.5</v>
      </c>
      <c r="R20" s="15">
        <f>Table1[[#This Row],[Num of Students]]/Table1[[#This Row],[Population 5-19]]*100</f>
        <v>69.429312272521827</v>
      </c>
      <c r="S20" s="15">
        <f>Table1[[#This Row],[Num of Schools ]]/Table1[[#This Row],[Population 5-19]]*1000</f>
        <v>3.730047339248757</v>
      </c>
      <c r="T20">
        <v>3495</v>
      </c>
      <c r="U20">
        <v>317500</v>
      </c>
      <c r="V20" s="15">
        <f>Table1[[#This Row],[Total Population]]/Table1[[#This Row],[Area ]]</f>
        <v>90.844062947067243</v>
      </c>
    </row>
    <row r="21" spans="1:22" x14ac:dyDescent="0.25">
      <c r="A21" s="2" t="s">
        <v>14</v>
      </c>
      <c r="B21">
        <v>2015</v>
      </c>
      <c r="C21">
        <v>765</v>
      </c>
      <c r="D21" s="1">
        <f>Table3[[#This Row],[Total Population]]*(Table3[[#This Row],[population +15 Rate]]/100)</f>
        <v>90601.5</v>
      </c>
      <c r="E21" s="15">
        <f>(Table1[[#This Row],[establishments]]/Table1[[#This Row],[Population +15]])*1000</f>
        <v>8.4435688150858432</v>
      </c>
      <c r="F21">
        <v>26430</v>
      </c>
      <c r="G21" s="15">
        <f>(Table1[[#This Row],[Employed]]/Table1[[#This Row],[Population +15]])*100</f>
        <v>29.171702455257364</v>
      </c>
      <c r="H21">
        <v>5381</v>
      </c>
      <c r="I21">
        <f>Table1[[#This Row],[Unemployed]]+Table1[[#This Row],[Employed]]</f>
        <v>31811</v>
      </c>
      <c r="J21" s="15">
        <f>(Table1[[#This Row],[Unemployed]]/Table1[[#This Row],[Labor Force]])*100</f>
        <v>16.915532363019082</v>
      </c>
      <c r="K21">
        <v>243</v>
      </c>
      <c r="L21">
        <v>36609</v>
      </c>
      <c r="M21">
        <v>2061</v>
      </c>
      <c r="N21" s="15">
        <f>Table1[[#This Row],[Num of Students]]/Table1[[#This Row],[Num of Schools ]]</f>
        <v>150.65432098765433</v>
      </c>
      <c r="O21" s="15">
        <f>Table1[[#This Row],[Number of Classes]]/Table1[[#This Row],[Num of Schools ]]</f>
        <v>8.481481481481481</v>
      </c>
      <c r="P21" s="15">
        <f>Table1[[#This Row],[Num of Students]]/Table1[[#This Row],[Number of Classes]]</f>
        <v>17.762736535662299</v>
      </c>
      <c r="Q21" s="1">
        <f>Table3[[#This Row],[Total Population]]*(Table3[[#This Row],[population 5-19 Rate ]]/100)</f>
        <v>52742.5</v>
      </c>
      <c r="R21" s="15">
        <f>Table1[[#This Row],[Num of Students]]/Table1[[#This Row],[Population 5-19]]*100</f>
        <v>69.410816703796755</v>
      </c>
      <c r="S21" s="15">
        <f>Table1[[#This Row],[Num of Schools ]]/Table1[[#This Row],[Population 5-19]]*1000</f>
        <v>4.6072901360382996</v>
      </c>
      <c r="T21">
        <v>32832</v>
      </c>
      <c r="U21">
        <v>144500</v>
      </c>
      <c r="V21" s="15">
        <f>Table1[[#This Row],[Total Population]]/Table1[[#This Row],[Area ]]</f>
        <v>4.4011939571150096</v>
      </c>
    </row>
    <row r="22" spans="1:22" x14ac:dyDescent="0.25">
      <c r="A22" s="2" t="s">
        <v>13</v>
      </c>
      <c r="B22">
        <v>2015</v>
      </c>
      <c r="C22">
        <v>763</v>
      </c>
      <c r="D22" s="1">
        <f>Table3[[#This Row],[Total Population]]*(Table3[[#This Row],[population +15 Rate]]/100)</f>
        <v>127668.10000000003</v>
      </c>
      <c r="E22" s="15">
        <f>(Table1[[#This Row],[establishments]]/Table1[[#This Row],[Population +15]])*1000</f>
        <v>5.9764342071355321</v>
      </c>
      <c r="F22">
        <v>32834</v>
      </c>
      <c r="G22" s="15">
        <f>(Table1[[#This Row],[Employed]]/Table1[[#This Row],[Population +15]])*100</f>
        <v>25.718249116263181</v>
      </c>
      <c r="H22">
        <v>6079</v>
      </c>
      <c r="I22">
        <f>Table1[[#This Row],[Unemployed]]+Table1[[#This Row],[Employed]]</f>
        <v>38913</v>
      </c>
      <c r="J22" s="15">
        <f>(Table1[[#This Row],[Unemployed]]/Table1[[#This Row],[Labor Force]])*100</f>
        <v>15.622028627964948</v>
      </c>
      <c r="K22">
        <v>195</v>
      </c>
      <c r="L22">
        <v>48867</v>
      </c>
      <c r="M22">
        <v>2179</v>
      </c>
      <c r="N22" s="15">
        <f>Table1[[#This Row],[Num of Students]]/Table1[[#This Row],[Num of Schools ]]</f>
        <v>250.6</v>
      </c>
      <c r="O22" s="15">
        <f>Table1[[#This Row],[Number of Classes]]/Table1[[#This Row],[Num of Schools ]]</f>
        <v>11.174358974358974</v>
      </c>
      <c r="P22" s="15">
        <f>Table1[[#This Row],[Num of Students]]/Table1[[#This Row],[Number of Classes]]</f>
        <v>22.42634235888022</v>
      </c>
      <c r="Q22" s="1">
        <f>Table3[[#This Row],[Total Population]]*(Table3[[#This Row],[population 5-19 Rate ]]/100)</f>
        <v>64498.000000000007</v>
      </c>
      <c r="R22" s="15">
        <f>Table1[[#This Row],[Num of Students]]/Table1[[#This Row],[Population 5-19]]*100</f>
        <v>75.76514000434122</v>
      </c>
      <c r="S22" s="15">
        <f>Table1[[#This Row],[Num of Schools ]]/Table1[[#This Row],[Population 5-19]]*1000</f>
        <v>3.0233495612267043</v>
      </c>
      <c r="T22">
        <v>940</v>
      </c>
      <c r="U22">
        <v>189700</v>
      </c>
      <c r="V22" s="15">
        <f>Table1[[#This Row],[Total Population]]/Table1[[#This Row],[Area ]]</f>
        <v>201.80851063829786</v>
      </c>
    </row>
    <row r="23" spans="1:22" x14ac:dyDescent="0.25">
      <c r="A23" s="2" t="s">
        <v>9</v>
      </c>
      <c r="B23">
        <v>2015</v>
      </c>
      <c r="C23">
        <v>963</v>
      </c>
      <c r="D23" s="1">
        <f>Table3[[#This Row],[Total Population]]*(Table3[[#This Row],[population +15 Rate]]/100)</f>
        <v>339724.00000000006</v>
      </c>
      <c r="E23" s="15">
        <f>(Table1[[#This Row],[establishments]]/Table1[[#This Row],[Population +15]])*1000</f>
        <v>2.8346540132578206</v>
      </c>
      <c r="F23">
        <v>74969</v>
      </c>
      <c r="G23" s="15">
        <f>(Table1[[#This Row],[Employed]]/Table1[[#This Row],[Population +15]])*100</f>
        <v>22.06761959708469</v>
      </c>
      <c r="H23">
        <v>13409</v>
      </c>
      <c r="I23">
        <f>Table1[[#This Row],[Unemployed]]+Table1[[#This Row],[Employed]]</f>
        <v>88378</v>
      </c>
      <c r="J23" s="15">
        <f>(Table1[[#This Row],[Unemployed]]/Table1[[#This Row],[Labor Force]])*100</f>
        <v>15.172327954920908</v>
      </c>
      <c r="K23">
        <v>569</v>
      </c>
      <c r="L23">
        <v>120347</v>
      </c>
      <c r="M23">
        <v>5717</v>
      </c>
      <c r="N23" s="15">
        <f>Table1[[#This Row],[Num of Students]]/Table1[[#This Row],[Num of Schools ]]</f>
        <v>211.50615114235501</v>
      </c>
      <c r="O23" s="15">
        <f>Table1[[#This Row],[Number of Classes]]/Table1[[#This Row],[Num of Schools ]]</f>
        <v>10.047451669595782</v>
      </c>
      <c r="P23" s="15">
        <f>Table1[[#This Row],[Num of Students]]/Table1[[#This Row],[Number of Classes]]</f>
        <v>21.050725905195034</v>
      </c>
      <c r="Q23" s="1">
        <f>Table3[[#This Row],[Total Population]]*(Table3[[#This Row],[population 5-19 Rate ]]/100)</f>
        <v>199643.00000000003</v>
      </c>
      <c r="R23" s="15">
        <f>Table1[[#This Row],[Num of Students]]/Table1[[#This Row],[Population 5-19]]*100</f>
        <v>60.281101766653464</v>
      </c>
      <c r="S23" s="15">
        <f>Table1[[#This Row],[Num of Schools ]]/Table1[[#This Row],[Population 5-19]]*1000</f>
        <v>2.8500874060197452</v>
      </c>
      <c r="T23">
        <v>26541</v>
      </c>
      <c r="U23">
        <v>551500</v>
      </c>
      <c r="V23" s="15">
        <f>Table1[[#This Row],[Total Population]]/Table1[[#This Row],[Area ]]</f>
        <v>20.779171847330545</v>
      </c>
    </row>
    <row r="24" spans="1:22" x14ac:dyDescent="0.25">
      <c r="A24" s="2" t="s">
        <v>6</v>
      </c>
      <c r="B24">
        <v>2015</v>
      </c>
      <c r="C24">
        <v>311</v>
      </c>
      <c r="D24" s="1">
        <f>Table3[[#This Row],[Total Population]]*(Table3[[#This Row],[population +15 Rate]]/100)</f>
        <v>59505.599999999999</v>
      </c>
      <c r="E24" s="15">
        <f>(Table1[[#This Row],[establishments]]/Table1[[#This Row],[Population +15]])*1000</f>
        <v>5.2263988599392333</v>
      </c>
      <c r="F24">
        <v>23416</v>
      </c>
      <c r="G24" s="15">
        <f>(Table1[[#This Row],[Employed]]/Table1[[#This Row],[Population +15]])*100</f>
        <v>39.350918232905812</v>
      </c>
      <c r="H24">
        <v>4362</v>
      </c>
      <c r="I24">
        <f>Table1[[#This Row],[Unemployed]]+Table1[[#This Row],[Employed]]</f>
        <v>27778</v>
      </c>
      <c r="J24" s="15">
        <f>(Table1[[#This Row],[Unemployed]]/Table1[[#This Row],[Labor Force]])*100</f>
        <v>15.703074375404997</v>
      </c>
      <c r="K24">
        <v>150</v>
      </c>
      <c r="L24">
        <v>26933</v>
      </c>
      <c r="M24">
        <v>1316</v>
      </c>
      <c r="N24" s="15">
        <f>Table1[[#This Row],[Num of Students]]/Table1[[#This Row],[Num of Schools ]]</f>
        <v>179.55333333333334</v>
      </c>
      <c r="O24" s="15">
        <f>Table1[[#This Row],[Number of Classes]]/Table1[[#This Row],[Num of Schools ]]</f>
        <v>8.7733333333333334</v>
      </c>
      <c r="P24" s="15">
        <f>Table1[[#This Row],[Num of Students]]/Table1[[#This Row],[Number of Classes]]</f>
        <v>20.465805471124622</v>
      </c>
      <c r="Q24" s="1">
        <f>Table3[[#This Row],[Total Population]]*(Table3[[#This Row],[population 5-19 Rate ]]/100)</f>
        <v>34389.600000000006</v>
      </c>
      <c r="R24" s="15">
        <f>Table1[[#This Row],[Num of Students]]/Table1[[#This Row],[Population 5-19]]*100</f>
        <v>78.31728196896735</v>
      </c>
      <c r="S24" s="15">
        <f>Table1[[#This Row],[Num of Schools ]]/Table1[[#This Row],[Population 5-19]]*1000</f>
        <v>4.3617837951008438</v>
      </c>
      <c r="T24">
        <v>2209</v>
      </c>
      <c r="U24">
        <v>96600</v>
      </c>
      <c r="V24" s="15">
        <f>Table1[[#This Row],[Total Population]]/Table1[[#This Row],[Area ]]</f>
        <v>43.730194658216391</v>
      </c>
    </row>
    <row r="25" spans="1:22" x14ac:dyDescent="0.25">
      <c r="A25" s="2" t="s">
        <v>5</v>
      </c>
      <c r="B25">
        <v>2015</v>
      </c>
      <c r="C25">
        <v>3723</v>
      </c>
      <c r="D25" s="1">
        <f>Table3[[#This Row],[Total Population]]*(Table3[[#This Row],[population +15 Rate]]/100)</f>
        <v>895195.20000000007</v>
      </c>
      <c r="E25" s="15">
        <f>(Table1[[#This Row],[establishments]]/Table1[[#This Row],[Population +15]])*1000</f>
        <v>4.1588694845548773</v>
      </c>
      <c r="F25">
        <v>183507</v>
      </c>
      <c r="G25" s="15">
        <f>(Table1[[#This Row],[Employed]]/Table1[[#This Row],[Population +15]])*100</f>
        <v>20.499104552839423</v>
      </c>
      <c r="H25">
        <v>28275</v>
      </c>
      <c r="I25">
        <f>Table1[[#This Row],[Unemployed]]+Table1[[#This Row],[Employed]]</f>
        <v>211782</v>
      </c>
      <c r="J25" s="15">
        <f>(Table1[[#This Row],[Unemployed]]/Table1[[#This Row],[Labor Force]])*100</f>
        <v>13.350993002238152</v>
      </c>
      <c r="K25">
        <v>748</v>
      </c>
      <c r="L25">
        <v>270253</v>
      </c>
      <c r="M25">
        <v>9212</v>
      </c>
      <c r="N25" s="15">
        <f>Table1[[#This Row],[Num of Students]]/Table1[[#This Row],[Num of Schools ]]</f>
        <v>361.30080213903744</v>
      </c>
      <c r="O25" s="15">
        <f>Table1[[#This Row],[Number of Classes]]/Table1[[#This Row],[Num of Schools ]]</f>
        <v>12.315508021390375</v>
      </c>
      <c r="P25" s="15">
        <f>Table1[[#This Row],[Num of Students]]/Table1[[#This Row],[Number of Classes]]</f>
        <v>29.337060356057318</v>
      </c>
      <c r="Q25" s="1">
        <f>Table3[[#This Row],[Total Population]]*(Table3[[#This Row],[population 5-19 Rate ]]/100)</f>
        <v>481817.60000000003</v>
      </c>
      <c r="R25" s="15">
        <f>Table1[[#This Row],[Num of Students]]/Table1[[#This Row],[Population 5-19]]*100</f>
        <v>56.090313014717594</v>
      </c>
      <c r="S25" s="15">
        <f>Table1[[#This Row],[Num of Schools ]]/Table1[[#This Row],[Population 5-19]]*1000</f>
        <v>1.5524547048509643</v>
      </c>
      <c r="T25">
        <v>4761</v>
      </c>
      <c r="U25">
        <v>1368800</v>
      </c>
      <c r="V25" s="15">
        <f>Table1[[#This Row],[Total Population]]/Table1[[#This Row],[Area ]]</f>
        <v>287.50262549884479</v>
      </c>
    </row>
    <row r="26" spans="1:22" x14ac:dyDescent="0.25">
      <c r="A26" s="2" t="s">
        <v>11</v>
      </c>
      <c r="B26">
        <v>2016</v>
      </c>
      <c r="C26">
        <v>661</v>
      </c>
      <c r="D26" s="1">
        <f>Table3[[#This Row],[Total Population]]*(Table3[[#This Row],[population +15 Rate]]/100)</f>
        <v>115839.99999999999</v>
      </c>
      <c r="E26" s="15">
        <f>(Table1[[#This Row],[establishments]]/Table1[[#This Row],[Population +15]])*1000</f>
        <v>5.7061464088397793</v>
      </c>
      <c r="F26">
        <v>34839</v>
      </c>
      <c r="G26" s="15">
        <f>(Table1[[#This Row],[Employed]]/Table1[[#This Row],[Population +15]])*100</f>
        <v>30.075103591160225</v>
      </c>
      <c r="H26">
        <v>7045</v>
      </c>
      <c r="I26">
        <f>Table1[[#This Row],[Unemployed]]+Table1[[#This Row],[Employed]]</f>
        <v>41884</v>
      </c>
      <c r="J26" s="15">
        <f>(Table1[[#This Row],[Unemployed]]/Table1[[#This Row],[Labor Force]])*100</f>
        <v>16.820265495177157</v>
      </c>
      <c r="K26">
        <v>204</v>
      </c>
      <c r="L26">
        <v>40616</v>
      </c>
      <c r="M26">
        <v>1951</v>
      </c>
      <c r="N26" s="15">
        <f>Table1[[#This Row],[Num of Students]]/Table1[[#This Row],[Num of Schools ]]</f>
        <v>199.09803921568627</v>
      </c>
      <c r="O26" s="15">
        <f>Table1[[#This Row],[Number of Classes]]/Table1[[#This Row],[Num of Schools ]]</f>
        <v>9.5637254901960791</v>
      </c>
      <c r="P26" s="15">
        <f>Table1[[#This Row],[Num of Students]]/Table1[[#This Row],[Number of Classes]]</f>
        <v>20.818042029728346</v>
      </c>
      <c r="Q26" s="1">
        <f>Table3[[#This Row],[Total Population]]*(Table3[[#This Row],[population 5-19 Rate ]]/100)</f>
        <v>66065</v>
      </c>
      <c r="R26" s="15">
        <f>Table1[[#This Row],[Num of Students]]/Table1[[#This Row],[Population 5-19]]*100</f>
        <v>61.478846590479073</v>
      </c>
      <c r="S26" s="15">
        <f>Table1[[#This Row],[Num of Schools ]]/Table1[[#This Row],[Population 5-19]]*1000</f>
        <v>3.0878680087792327</v>
      </c>
      <c r="T26">
        <v>420</v>
      </c>
      <c r="U26">
        <v>181000</v>
      </c>
      <c r="V26" s="15">
        <f>Table1[[#This Row],[Total Population]]/Table1[[#This Row],[Area ]]</f>
        <v>430.95238095238096</v>
      </c>
    </row>
    <row r="27" spans="1:22" x14ac:dyDescent="0.25">
      <c r="A27" s="2" t="s">
        <v>12</v>
      </c>
      <c r="B27">
        <v>2016</v>
      </c>
      <c r="C27">
        <v>29229</v>
      </c>
      <c r="D27" s="1">
        <f>Table3[[#This Row],[Total Population]]*(Table3[[#This Row],[population +15 Rate]]/100)</f>
        <v>2928964.5000000005</v>
      </c>
      <c r="E27" s="15">
        <f>(Table1[[#This Row],[establishments]]/Table1[[#This Row],[Population +15]])*1000</f>
        <v>9.9792947302707127</v>
      </c>
      <c r="F27">
        <v>547655</v>
      </c>
      <c r="G27" s="15">
        <f>(Table1[[#This Row],[Employed]]/Table1[[#This Row],[Population +15]])*100</f>
        <v>18.697905010456765</v>
      </c>
      <c r="H27">
        <v>89650</v>
      </c>
      <c r="I27">
        <f>Table1[[#This Row],[Unemployed]]+Table1[[#This Row],[Employed]]</f>
        <v>637305</v>
      </c>
      <c r="J27" s="15">
        <f>(Table1[[#This Row],[Unemployed]]/Table1[[#This Row],[Labor Force]])*100</f>
        <v>14.067047959768086</v>
      </c>
      <c r="K27">
        <v>2270</v>
      </c>
      <c r="L27">
        <v>708627</v>
      </c>
      <c r="M27">
        <v>27300</v>
      </c>
      <c r="N27" s="15">
        <f>Table1[[#This Row],[Num of Students]]/Table1[[#This Row],[Num of Schools ]]</f>
        <v>312.17048458149782</v>
      </c>
      <c r="O27" s="15">
        <f>Table1[[#This Row],[Number of Classes]]/Table1[[#This Row],[Num of Schools ]]</f>
        <v>12.026431718061675</v>
      </c>
      <c r="P27" s="15">
        <f>Table1[[#This Row],[Num of Students]]/Table1[[#This Row],[Number of Classes]]</f>
        <v>25.957032967032966</v>
      </c>
      <c r="Q27" s="1">
        <f>Table3[[#This Row],[Total Population]]*(Table3[[#This Row],[population 5-19 Rate ]]/100)</f>
        <v>1310001</v>
      </c>
      <c r="R27" s="15">
        <f>Table1[[#This Row],[Num of Students]]/Table1[[#This Row],[Population 5-19]]*100</f>
        <v>54.093622829295555</v>
      </c>
      <c r="S27" s="15">
        <f>Table1[[#This Row],[Num of Schools ]]/Table1[[#This Row],[Population 5-19]]*1000</f>
        <v>1.7328231047151874</v>
      </c>
      <c r="T27">
        <v>7579</v>
      </c>
      <c r="U27">
        <v>4119500</v>
      </c>
      <c r="V27" s="15">
        <f>Table1[[#This Row],[Total Population]]/Table1[[#This Row],[Area ]]</f>
        <v>543.54136429608127</v>
      </c>
    </row>
    <row r="28" spans="1:22" x14ac:dyDescent="0.25">
      <c r="A28" s="2" t="s">
        <v>7</v>
      </c>
      <c r="B28">
        <v>2016</v>
      </c>
      <c r="C28">
        <v>1025</v>
      </c>
      <c r="D28" s="1">
        <f>Table3[[#This Row],[Total Population]]*(Table3[[#This Row],[population +15 Rate]]/100)</f>
        <v>122615.6</v>
      </c>
      <c r="E28" s="15">
        <f>(Table1[[#This Row],[establishments]]/Table1[[#This Row],[Population +15]])*1000</f>
        <v>8.3594583397218614</v>
      </c>
      <c r="F28">
        <v>29962</v>
      </c>
      <c r="G28" s="15">
        <f>(Table1[[#This Row],[Employed]]/Table1[[#This Row],[Population +15]])*100</f>
        <v>24.435716173145995</v>
      </c>
      <c r="H28">
        <v>5663</v>
      </c>
      <c r="I28">
        <f>Table1[[#This Row],[Unemployed]]+Table1[[#This Row],[Employed]]</f>
        <v>35625</v>
      </c>
      <c r="J28" s="15">
        <f>(Table1[[#This Row],[Unemployed]]/Table1[[#This Row],[Labor Force]])*100</f>
        <v>15.896140350877195</v>
      </c>
      <c r="K28">
        <v>121</v>
      </c>
      <c r="L28">
        <v>42514</v>
      </c>
      <c r="M28">
        <v>1651</v>
      </c>
      <c r="N28" s="15">
        <f>Table1[[#This Row],[Num of Students]]/Table1[[#This Row],[Num of Schools ]]</f>
        <v>351.35537190082647</v>
      </c>
      <c r="O28" s="15">
        <f>Table1[[#This Row],[Number of Classes]]/Table1[[#This Row],[Num of Schools ]]</f>
        <v>13.644628099173554</v>
      </c>
      <c r="P28" s="15">
        <f>Table1[[#This Row],[Num of Students]]/Table1[[#This Row],[Number of Classes]]</f>
        <v>25.750454270139308</v>
      </c>
      <c r="Q28" s="1">
        <f>Table3[[#This Row],[Total Population]]*(Table3[[#This Row],[population 5-19 Rate ]]/100)</f>
        <v>66529.60000000002</v>
      </c>
      <c r="R28" s="15">
        <f>Table1[[#This Row],[Num of Students]]/Table1[[#This Row],[Population 5-19]]*100</f>
        <v>63.902383300064912</v>
      </c>
      <c r="S28" s="15">
        <f>Table1[[#This Row],[Num of Schools ]]/Table1[[#This Row],[Population 5-19]]*1000</f>
        <v>1.8187393280584876</v>
      </c>
      <c r="T28">
        <v>6900</v>
      </c>
      <c r="U28">
        <v>193400</v>
      </c>
      <c r="V28" s="15">
        <f>Table1[[#This Row],[Total Population]]/Table1[[#This Row],[Area ]]</f>
        <v>28.028985507246375</v>
      </c>
    </row>
    <row r="29" spans="1:22" x14ac:dyDescent="0.25">
      <c r="A29" s="2" t="s">
        <v>4</v>
      </c>
      <c r="B29">
        <v>2016</v>
      </c>
      <c r="C29">
        <v>2189</v>
      </c>
      <c r="D29" s="1">
        <f>Table3[[#This Row],[Total Population]]*(Table3[[#This Row],[population +15 Rate]]/100)</f>
        <v>341145</v>
      </c>
      <c r="E29" s="15">
        <f>(Table1[[#This Row],[establishments]]/Table1[[#This Row],[Population +15]])*1000</f>
        <v>6.416626361224699</v>
      </c>
      <c r="F29">
        <v>91943</v>
      </c>
      <c r="G29" s="15">
        <f>(Table1[[#This Row],[Employed]]/Table1[[#This Row],[Population +15]])*100</f>
        <v>26.95129636957892</v>
      </c>
      <c r="H29">
        <v>15922</v>
      </c>
      <c r="I29">
        <f>Table1[[#This Row],[Unemployed]]+Table1[[#This Row],[Employed]]</f>
        <v>107865</v>
      </c>
      <c r="J29" s="15">
        <f>(Table1[[#This Row],[Unemployed]]/Table1[[#This Row],[Labor Force]])*100</f>
        <v>14.761043897464424</v>
      </c>
      <c r="K29">
        <v>482</v>
      </c>
      <c r="L29">
        <v>130263</v>
      </c>
      <c r="M29">
        <v>5377</v>
      </c>
      <c r="N29" s="15">
        <f>Table1[[#This Row],[Num of Students]]/Table1[[#This Row],[Num of Schools ]]</f>
        <v>270.25518672199172</v>
      </c>
      <c r="O29" s="15">
        <f>Table1[[#This Row],[Number of Classes]]/Table1[[#This Row],[Num of Schools ]]</f>
        <v>11.155601659751037</v>
      </c>
      <c r="P29" s="15">
        <f>Table1[[#This Row],[Num of Students]]/Table1[[#This Row],[Number of Classes]]</f>
        <v>24.225962432583223</v>
      </c>
      <c r="Q29" s="1">
        <f>Table3[[#This Row],[Total Population]]*(Table3[[#This Row],[population 5-19 Rate ]]/100)</f>
        <v>171330.60000000003</v>
      </c>
      <c r="R29" s="15">
        <f>Table1[[#This Row],[Num of Students]]/Table1[[#This Row],[Population 5-19]]*100</f>
        <v>76.030201260020078</v>
      </c>
      <c r="S29" s="15">
        <f>Table1[[#This Row],[Num of Schools ]]/Table1[[#This Row],[Population 5-19]]*1000</f>
        <v>2.813274453016565</v>
      </c>
      <c r="T29">
        <v>1119</v>
      </c>
      <c r="U29">
        <v>505400</v>
      </c>
      <c r="V29" s="15">
        <f>Table1[[#This Row],[Total Population]]/Table1[[#This Row],[Area ]]</f>
        <v>451.65326184092942</v>
      </c>
    </row>
    <row r="30" spans="1:22" x14ac:dyDescent="0.25">
      <c r="A30" s="2" t="s">
        <v>3</v>
      </c>
      <c r="B30">
        <v>2016</v>
      </c>
      <c r="C30">
        <v>5351</v>
      </c>
      <c r="D30" s="1">
        <f>Table3[[#This Row],[Total Population]]*(Table3[[#This Row],[population +15 Rate]]/100)</f>
        <v>1217312.4000000001</v>
      </c>
      <c r="E30" s="15">
        <f>(Table1[[#This Row],[establishments]]/Table1[[#This Row],[Population +15]])*1000</f>
        <v>4.3957491930584123</v>
      </c>
      <c r="F30">
        <v>262698</v>
      </c>
      <c r="G30" s="15">
        <f>(Table1[[#This Row],[Employed]]/Table1[[#This Row],[Population +15]])*100</f>
        <v>21.580162988563988</v>
      </c>
      <c r="H30">
        <v>55266</v>
      </c>
      <c r="I30">
        <f>Table1[[#This Row],[Unemployed]]+Table1[[#This Row],[Employed]]</f>
        <v>317964</v>
      </c>
      <c r="J30" s="15">
        <f>(Table1[[#This Row],[Unemployed]]/Table1[[#This Row],[Labor Force]])*100</f>
        <v>17.381212967505753</v>
      </c>
      <c r="K30">
        <v>1286</v>
      </c>
      <c r="L30">
        <v>341741</v>
      </c>
      <c r="M30">
        <v>13452</v>
      </c>
      <c r="N30" s="15">
        <f>Table1[[#This Row],[Num of Students]]/Table1[[#This Row],[Num of Schools ]]</f>
        <v>265.73950233281494</v>
      </c>
      <c r="O30" s="15">
        <f>Table1[[#This Row],[Number of Classes]]/Table1[[#This Row],[Num of Schools ]]</f>
        <v>10.460342146189735</v>
      </c>
      <c r="P30" s="15">
        <f>Table1[[#This Row],[Num of Students]]/Table1[[#This Row],[Number of Classes]]</f>
        <v>25.404475170978294</v>
      </c>
      <c r="Q30" s="1">
        <f>Table3[[#This Row],[Total Population]]*(Table3[[#This Row],[population 5-19 Rate ]]/100)</f>
        <v>627762</v>
      </c>
      <c r="R30" s="15">
        <f>Table1[[#This Row],[Num of Students]]/Table1[[#This Row],[Population 5-19]]*100</f>
        <v>54.437987644999218</v>
      </c>
      <c r="S30" s="15">
        <f>Table1[[#This Row],[Num of Schools ]]/Table1[[#This Row],[Population 5-19]]*1000</f>
        <v>2.0485470608287857</v>
      </c>
      <c r="T30">
        <v>1572</v>
      </c>
      <c r="U30">
        <v>1819600</v>
      </c>
      <c r="V30" s="15">
        <f>Table1[[#This Row],[Total Population]]/Table1[[#This Row],[Area ]]</f>
        <v>1157.5063613231553</v>
      </c>
    </row>
    <row r="31" spans="1:22" x14ac:dyDescent="0.25">
      <c r="A31" s="2" t="s">
        <v>10</v>
      </c>
      <c r="B31">
        <v>2016</v>
      </c>
      <c r="C31">
        <v>932</v>
      </c>
      <c r="D31" s="1">
        <f>Table3[[#This Row],[Total Population]]*(Table3[[#This Row],[population +15 Rate]]/100)</f>
        <v>161573.09999999998</v>
      </c>
      <c r="E31" s="15">
        <f>(Table1[[#This Row],[establishments]]/Table1[[#This Row],[Population +15]])*1000</f>
        <v>5.7682869239991073</v>
      </c>
      <c r="F31">
        <v>36911</v>
      </c>
      <c r="G31" s="15">
        <f>(Table1[[#This Row],[Employed]]/Table1[[#This Row],[Population +15]])*100</f>
        <v>22.844768095679296</v>
      </c>
      <c r="H31">
        <v>6805</v>
      </c>
      <c r="I31">
        <f>Table1[[#This Row],[Unemployed]]+Table1[[#This Row],[Employed]]</f>
        <v>43716</v>
      </c>
      <c r="J31" s="15">
        <f>(Table1[[#This Row],[Unemployed]]/Table1[[#This Row],[Labor Force]])*100</f>
        <v>15.566383017659438</v>
      </c>
      <c r="K31">
        <v>273</v>
      </c>
      <c r="L31">
        <v>56785</v>
      </c>
      <c r="M31">
        <v>2474</v>
      </c>
      <c r="N31" s="15">
        <f>Table1[[#This Row],[Num of Students]]/Table1[[#This Row],[Num of Schools ]]</f>
        <v>208.00366300366301</v>
      </c>
      <c r="O31" s="15">
        <f>Table1[[#This Row],[Number of Classes]]/Table1[[#This Row],[Num of Schools ]]</f>
        <v>9.062271062271062</v>
      </c>
      <c r="P31" s="15">
        <f>Table1[[#This Row],[Num of Students]]/Table1[[#This Row],[Number of Classes]]</f>
        <v>22.952708164915116</v>
      </c>
      <c r="Q31" s="1">
        <f>Table3[[#This Row],[Total Population]]*(Table3[[#This Row],[population 5-19 Rate ]]/100)</f>
        <v>82614.299999999988</v>
      </c>
      <c r="R31" s="15">
        <f>Table1[[#This Row],[Num of Students]]/Table1[[#This Row],[Population 5-19]]*100</f>
        <v>68.735073709999369</v>
      </c>
      <c r="S31" s="15">
        <f>Table1[[#This Row],[Num of Schools ]]/Table1[[#This Row],[Population 5-19]]*1000</f>
        <v>3.3045126570097434</v>
      </c>
      <c r="T31">
        <v>410</v>
      </c>
      <c r="U31">
        <v>243700</v>
      </c>
      <c r="V31" s="15">
        <f>Table1[[#This Row],[Total Population]]/Table1[[#This Row],[Area ]]</f>
        <v>594.39024390243901</v>
      </c>
    </row>
    <row r="32" spans="1:22" x14ac:dyDescent="0.25">
      <c r="A32" s="2" t="s">
        <v>8</v>
      </c>
      <c r="B32">
        <v>2016</v>
      </c>
      <c r="C32">
        <v>1105</v>
      </c>
      <c r="D32" s="1">
        <f>Table3[[#This Row],[Total Population]]*(Table3[[#This Row],[population +15 Rate]]/100)</f>
        <v>210598.49999999997</v>
      </c>
      <c r="E32" s="15">
        <f>(Table1[[#This Row],[establishments]]/Table1[[#This Row],[Population +15]])*1000</f>
        <v>5.2469509516924395</v>
      </c>
      <c r="F32">
        <v>65097</v>
      </c>
      <c r="G32" s="15">
        <f>(Table1[[#This Row],[Employed]]/Table1[[#This Row],[Population +15]])*100</f>
        <v>30.910476570345946</v>
      </c>
      <c r="H32">
        <v>11463</v>
      </c>
      <c r="I32">
        <f>Table1[[#This Row],[Unemployed]]+Table1[[#This Row],[Employed]]</f>
        <v>76560</v>
      </c>
      <c r="J32" s="15">
        <f>(Table1[[#This Row],[Unemployed]]/Table1[[#This Row],[Labor Force]])*100</f>
        <v>14.972570532915361</v>
      </c>
      <c r="K32">
        <v>397</v>
      </c>
      <c r="L32">
        <v>74663</v>
      </c>
      <c r="M32">
        <v>3619</v>
      </c>
      <c r="N32" s="15">
        <f>Table1[[#This Row],[Num of Students]]/Table1[[#This Row],[Num of Schools ]]</f>
        <v>188.06801007556675</v>
      </c>
      <c r="O32" s="15">
        <f>Table1[[#This Row],[Number of Classes]]/Table1[[#This Row],[Num of Schools ]]</f>
        <v>9.1158690176322423</v>
      </c>
      <c r="P32" s="15">
        <f>Table1[[#This Row],[Num of Students]]/Table1[[#This Row],[Number of Classes]]</f>
        <v>20.630837247858523</v>
      </c>
      <c r="Q32" s="1">
        <f>Table3[[#This Row],[Total Population]]*(Table3[[#This Row],[population 5-19 Rate ]]/100)</f>
        <v>114576.00000000001</v>
      </c>
      <c r="R32" s="15">
        <f>Table1[[#This Row],[Num of Students]]/Table1[[#This Row],[Population 5-19]]*100</f>
        <v>65.164606898477857</v>
      </c>
      <c r="S32" s="15">
        <f>Table1[[#This Row],[Num of Schools ]]/Table1[[#This Row],[Population 5-19]]*1000</f>
        <v>3.4649490294651577</v>
      </c>
      <c r="T32">
        <v>3495</v>
      </c>
      <c r="U32">
        <v>325500</v>
      </c>
      <c r="V32" s="15">
        <f>Table1[[#This Row],[Total Population]]/Table1[[#This Row],[Area ]]</f>
        <v>93.133047210300433</v>
      </c>
    </row>
    <row r="33" spans="1:22" x14ac:dyDescent="0.25">
      <c r="A33" s="2" t="s">
        <v>14</v>
      </c>
      <c r="B33">
        <v>2016</v>
      </c>
      <c r="C33">
        <v>968</v>
      </c>
      <c r="D33" s="1">
        <f>Table3[[#This Row],[Total Population]]*(Table3[[#This Row],[population +15 Rate]]/100)</f>
        <v>94487.8</v>
      </c>
      <c r="E33" s="15">
        <f>(Table1[[#This Row],[establishments]]/Table1[[#This Row],[Population +15]])*1000</f>
        <v>10.244708840718062</v>
      </c>
      <c r="F33">
        <v>26945</v>
      </c>
      <c r="G33" s="15">
        <f>(Table1[[#This Row],[Employed]]/Table1[[#This Row],[Population +15]])*100</f>
        <v>28.516909061275637</v>
      </c>
      <c r="H33">
        <v>6347</v>
      </c>
      <c r="I33">
        <f>Table1[[#This Row],[Unemployed]]+Table1[[#This Row],[Employed]]</f>
        <v>33292</v>
      </c>
      <c r="J33" s="15">
        <f>(Table1[[#This Row],[Unemployed]]/Table1[[#This Row],[Labor Force]])*100</f>
        <v>19.064640153790702</v>
      </c>
      <c r="K33">
        <v>237</v>
      </c>
      <c r="L33">
        <v>36389</v>
      </c>
      <c r="M33">
        <v>1999</v>
      </c>
      <c r="N33" s="15">
        <f>Table1[[#This Row],[Num of Students]]/Table1[[#This Row],[Num of Schools ]]</f>
        <v>153.54008438818565</v>
      </c>
      <c r="O33" s="15">
        <f>Table1[[#This Row],[Number of Classes]]/Table1[[#This Row],[Num of Schools ]]</f>
        <v>8.4345991561181428</v>
      </c>
      <c r="P33" s="15">
        <f>Table1[[#This Row],[Num of Students]]/Table1[[#This Row],[Number of Classes]]</f>
        <v>18.203601800900451</v>
      </c>
      <c r="Q33" s="1">
        <f>Table3[[#This Row],[Total Population]]*(Table3[[#This Row],[population 5-19 Rate ]]/100)</f>
        <v>57018.5</v>
      </c>
      <c r="R33" s="15">
        <f>Table1[[#This Row],[Num of Students]]/Table1[[#This Row],[Population 5-19]]*100</f>
        <v>63.819637486079081</v>
      </c>
      <c r="S33" s="15">
        <f>Table1[[#This Row],[Num of Schools ]]/Table1[[#This Row],[Population 5-19]]*1000</f>
        <v>4.1565456825416307</v>
      </c>
      <c r="T33">
        <v>32832</v>
      </c>
      <c r="U33">
        <v>148100</v>
      </c>
      <c r="V33" s="15">
        <f>Table1[[#This Row],[Total Population]]/Table1[[#This Row],[Area ]]</f>
        <v>4.5108430799220276</v>
      </c>
    </row>
    <row r="34" spans="1:22" x14ac:dyDescent="0.25">
      <c r="A34" s="2" t="s">
        <v>13</v>
      </c>
      <c r="B34">
        <v>2016</v>
      </c>
      <c r="C34">
        <v>902</v>
      </c>
      <c r="D34" s="1">
        <f>Table3[[#This Row],[Total Population]]*(Table3[[#This Row],[population +15 Rate]]/100)</f>
        <v>129925.99999999999</v>
      </c>
      <c r="E34" s="15">
        <f>(Table1[[#This Row],[establishments]]/Table1[[#This Row],[Population +15]])*1000</f>
        <v>6.9424133737666072</v>
      </c>
      <c r="F34">
        <v>34399</v>
      </c>
      <c r="G34" s="15">
        <f>(Table1[[#This Row],[Employed]]/Table1[[#This Row],[Population +15]])*100</f>
        <v>26.475840093591742</v>
      </c>
      <c r="H34">
        <v>5969</v>
      </c>
      <c r="I34">
        <f>Table1[[#This Row],[Unemployed]]+Table1[[#This Row],[Employed]]</f>
        <v>40368</v>
      </c>
      <c r="J34" s="15">
        <f>(Table1[[#This Row],[Unemployed]]/Table1[[#This Row],[Labor Force]])*100</f>
        <v>14.786464526357509</v>
      </c>
      <c r="K34">
        <v>197</v>
      </c>
      <c r="L34">
        <v>49354</v>
      </c>
      <c r="M34">
        <v>2190</v>
      </c>
      <c r="N34" s="15">
        <f>Table1[[#This Row],[Num of Students]]/Table1[[#This Row],[Num of Schools ]]</f>
        <v>250.5279187817259</v>
      </c>
      <c r="O34" s="15">
        <f>Table1[[#This Row],[Number of Classes]]/Table1[[#This Row],[Num of Schools ]]</f>
        <v>11.116751269035532</v>
      </c>
      <c r="P34" s="15">
        <f>Table1[[#This Row],[Num of Students]]/Table1[[#This Row],[Number of Classes]]</f>
        <v>22.536073059360731</v>
      </c>
      <c r="Q34" s="1">
        <f>Table3[[#This Row],[Total Population]]*(Table3[[#This Row],[population 5-19 Rate ]]/100)</f>
        <v>67686</v>
      </c>
      <c r="R34" s="15">
        <f>Table1[[#This Row],[Num of Students]]/Table1[[#This Row],[Population 5-19]]*100</f>
        <v>72.916112637768521</v>
      </c>
      <c r="S34" s="15">
        <f>Table1[[#This Row],[Num of Schools ]]/Table1[[#This Row],[Population 5-19]]*1000</f>
        <v>2.9104984782672929</v>
      </c>
      <c r="T34">
        <v>940</v>
      </c>
      <c r="U34">
        <v>194500</v>
      </c>
      <c r="V34" s="15">
        <f>Table1[[#This Row],[Total Population]]/Table1[[#This Row],[Area ]]</f>
        <v>206.91489361702128</v>
      </c>
    </row>
    <row r="35" spans="1:22" x14ac:dyDescent="0.25">
      <c r="A35" s="2" t="s">
        <v>9</v>
      </c>
      <c r="B35">
        <v>2016</v>
      </c>
      <c r="C35">
        <v>1245</v>
      </c>
      <c r="D35" s="1">
        <f>Table3[[#This Row],[Total Population]]*(Table3[[#This Row],[population +15 Rate]]/100)</f>
        <v>355573.7</v>
      </c>
      <c r="E35" s="15">
        <f>(Table1[[#This Row],[establishments]]/Table1[[#This Row],[Population +15]])*1000</f>
        <v>3.5013838200069349</v>
      </c>
      <c r="F35">
        <v>69528</v>
      </c>
      <c r="G35" s="15">
        <f>(Table1[[#This Row],[Employed]]/Table1[[#This Row],[Population +15]])*100</f>
        <v>19.553752147585719</v>
      </c>
      <c r="H35">
        <v>13558</v>
      </c>
      <c r="I35">
        <f>Table1[[#This Row],[Unemployed]]+Table1[[#This Row],[Employed]]</f>
        <v>83086</v>
      </c>
      <c r="J35" s="15">
        <f>(Table1[[#This Row],[Unemployed]]/Table1[[#This Row],[Labor Force]])*100</f>
        <v>16.318031918734803</v>
      </c>
      <c r="K35">
        <v>584</v>
      </c>
      <c r="L35">
        <v>118597</v>
      </c>
      <c r="M35">
        <v>5785</v>
      </c>
      <c r="N35" s="15">
        <f>Table1[[#This Row],[Num of Students]]/Table1[[#This Row],[Num of Schools ]]</f>
        <v>203.07705479452054</v>
      </c>
      <c r="O35" s="15">
        <f>Table1[[#This Row],[Number of Classes]]/Table1[[#This Row],[Num of Schools ]]</f>
        <v>9.9058219178082183</v>
      </c>
      <c r="P35" s="15">
        <f>Table1[[#This Row],[Num of Students]]/Table1[[#This Row],[Number of Classes]]</f>
        <v>20.500777873811582</v>
      </c>
      <c r="Q35" s="1">
        <f>Table3[[#This Row],[Total Population]]*(Table3[[#This Row],[population 5-19 Rate ]]/100)</f>
        <v>206899.8</v>
      </c>
      <c r="R35" s="15">
        <f>Table1[[#This Row],[Num of Students]]/Table1[[#This Row],[Population 5-19]]*100</f>
        <v>57.320983393894053</v>
      </c>
      <c r="S35" s="15">
        <f>Table1[[#This Row],[Num of Schools ]]/Table1[[#This Row],[Population 5-19]]*1000</f>
        <v>2.822622351495748</v>
      </c>
      <c r="T35">
        <v>26541</v>
      </c>
      <c r="U35">
        <v>565300</v>
      </c>
      <c r="V35" s="15">
        <f>Table1[[#This Row],[Total Population]]/Table1[[#This Row],[Area ]]</f>
        <v>21.29912211295731</v>
      </c>
    </row>
    <row r="36" spans="1:22" x14ac:dyDescent="0.25">
      <c r="A36" s="2" t="s">
        <v>6</v>
      </c>
      <c r="B36">
        <v>2016</v>
      </c>
      <c r="C36">
        <v>334</v>
      </c>
      <c r="D36" s="1">
        <f>Table3[[#This Row],[Total Population]]*(Table3[[#This Row],[population +15 Rate]]/100)</f>
        <v>62172.000000000015</v>
      </c>
      <c r="E36" s="15">
        <f>(Table1[[#This Row],[establishments]]/Table1[[#This Row],[Population +15]])*1000</f>
        <v>5.3721932702824411</v>
      </c>
      <c r="F36">
        <v>24360</v>
      </c>
      <c r="G36" s="15">
        <f>(Table1[[#This Row],[Employed]]/Table1[[#This Row],[Population +15]])*100</f>
        <v>39.181625168886306</v>
      </c>
      <c r="H36">
        <v>4457</v>
      </c>
      <c r="I36">
        <f>Table1[[#This Row],[Unemployed]]+Table1[[#This Row],[Employed]]</f>
        <v>28817</v>
      </c>
      <c r="J36" s="15">
        <f>(Table1[[#This Row],[Unemployed]]/Table1[[#This Row],[Labor Force]])*100</f>
        <v>15.466564874900232</v>
      </c>
      <c r="K36">
        <v>152</v>
      </c>
      <c r="L36">
        <v>27424</v>
      </c>
      <c r="M36">
        <v>1296</v>
      </c>
      <c r="N36" s="15">
        <f>Table1[[#This Row],[Num of Students]]/Table1[[#This Row],[Num of Schools ]]</f>
        <v>180.42105263157896</v>
      </c>
      <c r="O36" s="15">
        <f>Table1[[#This Row],[Number of Classes]]/Table1[[#This Row],[Num of Schools ]]</f>
        <v>8.526315789473685</v>
      </c>
      <c r="P36" s="15">
        <f>Table1[[#This Row],[Num of Students]]/Table1[[#This Row],[Number of Classes]]</f>
        <v>21.160493827160494</v>
      </c>
      <c r="Q36" s="1">
        <f>Table3[[#This Row],[Total Population]]*(Table3[[#This Row],[population 5-19 Rate ]]/100)</f>
        <v>35046</v>
      </c>
      <c r="R36" s="15">
        <f>Table1[[#This Row],[Num of Students]]/Table1[[#This Row],[Population 5-19]]*100</f>
        <v>78.25144096330537</v>
      </c>
      <c r="S36" s="15">
        <f>Table1[[#This Row],[Num of Schools ]]/Table1[[#This Row],[Population 5-19]]*1000</f>
        <v>4.3371568795297604</v>
      </c>
      <c r="T36">
        <v>2209</v>
      </c>
      <c r="U36">
        <v>99000</v>
      </c>
      <c r="V36" s="15">
        <f>Table1[[#This Row],[Total Population]]/Table1[[#This Row],[Area ]]</f>
        <v>44.816659121774556</v>
      </c>
    </row>
    <row r="37" spans="1:22" x14ac:dyDescent="0.25">
      <c r="A37" s="2" t="s">
        <v>5</v>
      </c>
      <c r="B37">
        <v>2016</v>
      </c>
      <c r="C37">
        <v>4287</v>
      </c>
      <c r="D37" s="1">
        <f>Table3[[#This Row],[Total Population]]*(Table3[[#This Row],[population +15 Rate]]/100)</f>
        <v>935801</v>
      </c>
      <c r="E37" s="15">
        <f>(Table1[[#This Row],[establishments]]/Table1[[#This Row],[Population +15]])*1000</f>
        <v>4.581102178775188</v>
      </c>
      <c r="F37">
        <v>182301</v>
      </c>
      <c r="G37" s="15">
        <f>(Table1[[#This Row],[Employed]]/Table1[[#This Row],[Population +15]])*100</f>
        <v>19.480744303543169</v>
      </c>
      <c r="H37">
        <v>31470</v>
      </c>
      <c r="I37">
        <f>Table1[[#This Row],[Unemployed]]+Table1[[#This Row],[Employed]]</f>
        <v>213771</v>
      </c>
      <c r="J37" s="15">
        <f>(Table1[[#This Row],[Unemployed]]/Table1[[#This Row],[Labor Force]])*100</f>
        <v>14.72136070842163</v>
      </c>
      <c r="K37">
        <v>758</v>
      </c>
      <c r="L37">
        <v>272307</v>
      </c>
      <c r="M37">
        <v>9265</v>
      </c>
      <c r="N37" s="15">
        <f>Table1[[#This Row],[Num of Students]]/Table1[[#This Row],[Num of Schools ]]</f>
        <v>359.24406332453827</v>
      </c>
      <c r="O37" s="15">
        <f>Table1[[#This Row],[Number of Classes]]/Table1[[#This Row],[Num of Schools ]]</f>
        <v>12.222955145118734</v>
      </c>
      <c r="P37" s="15">
        <f>Table1[[#This Row],[Num of Students]]/Table1[[#This Row],[Number of Classes]]</f>
        <v>29.390933621154883</v>
      </c>
      <c r="Q37" s="1">
        <f>Table3[[#This Row],[Total Population]]*(Table3[[#This Row],[population 5-19 Rate ]]/100)</f>
        <v>505080</v>
      </c>
      <c r="R37" s="15">
        <f>Table1[[#This Row],[Num of Students]]/Table1[[#This Row],[Population 5-19]]*100</f>
        <v>53.913637443573293</v>
      </c>
      <c r="S37" s="15">
        <f>Table1[[#This Row],[Num of Schools ]]/Table1[[#This Row],[Population 5-19]]*1000</f>
        <v>1.5007523560624059</v>
      </c>
      <c r="T37">
        <v>4761</v>
      </c>
      <c r="U37">
        <v>1403000</v>
      </c>
      <c r="V37" s="15">
        <f>Table1[[#This Row],[Total Population]]/Table1[[#This Row],[Area ]]</f>
        <v>294.68599033816423</v>
      </c>
    </row>
    <row r="38" spans="1:22" x14ac:dyDescent="0.25">
      <c r="A38" s="2" t="s">
        <v>11</v>
      </c>
      <c r="B38">
        <v>2017</v>
      </c>
      <c r="C38">
        <v>809</v>
      </c>
      <c r="D38" s="1">
        <v>106748</v>
      </c>
      <c r="E38" s="15">
        <f>(Table1[[#This Row],[establishments]]/Table1[[#This Row],[Population +15]])*1000</f>
        <v>7.5785963203057669</v>
      </c>
      <c r="F38">
        <v>34247</v>
      </c>
      <c r="G38" s="15">
        <f>(Table1[[#This Row],[Employed]]/Table1[[#This Row],[Population +15]])*100</f>
        <v>32.082099898827146</v>
      </c>
      <c r="H38">
        <v>8248</v>
      </c>
      <c r="I38">
        <f>Table1[[#This Row],[Unemployed]]+Table1[[#This Row],[Employed]]</f>
        <v>42495</v>
      </c>
      <c r="J38" s="15">
        <f>(Table1[[#This Row],[Unemployed]]/Table1[[#This Row],[Labor Force]])*100</f>
        <v>19.40934227556183</v>
      </c>
      <c r="K38">
        <v>202</v>
      </c>
      <c r="L38">
        <v>43732</v>
      </c>
      <c r="M38">
        <v>1954</v>
      </c>
      <c r="N38" s="15">
        <f>Table1[[#This Row],[Num of Students]]/Table1[[#This Row],[Num of Schools ]]</f>
        <v>216.49504950495049</v>
      </c>
      <c r="O38" s="15">
        <f>Table1[[#This Row],[Number of Classes]]/Table1[[#This Row],[Num of Schools ]]</f>
        <v>9.6732673267326739</v>
      </c>
      <c r="P38" s="15">
        <f>Table1[[#This Row],[Num of Students]]/Table1[[#This Row],[Number of Classes]]</f>
        <v>22.380757420675536</v>
      </c>
      <c r="Q38" s="1">
        <v>55900</v>
      </c>
      <c r="R38" s="15">
        <f>Table1[[#This Row],[Num of Students]]/Table1[[#This Row],[Population 5-19]]*100</f>
        <v>78.232558139534873</v>
      </c>
      <c r="S38" s="15">
        <f>Table1[[#This Row],[Num of Schools ]]/Table1[[#This Row],[Population 5-19]]*1000</f>
        <v>3.6135957066189626</v>
      </c>
      <c r="T38">
        <v>420</v>
      </c>
      <c r="U38">
        <v>163696</v>
      </c>
      <c r="V38" s="15">
        <f>Table1[[#This Row],[Total Population]]/Table1[[#This Row],[Area ]]</f>
        <v>389.75238095238097</v>
      </c>
    </row>
    <row r="39" spans="1:22" x14ac:dyDescent="0.25">
      <c r="A39" s="2" t="s">
        <v>12</v>
      </c>
      <c r="B39">
        <v>2017</v>
      </c>
      <c r="C39">
        <v>30583</v>
      </c>
      <c r="D39" s="1">
        <v>1835167</v>
      </c>
      <c r="E39" s="15">
        <f>(Table1[[#This Row],[establishments]]/Table1[[#This Row],[Population +15]])*1000</f>
        <v>16.664968365276838</v>
      </c>
      <c r="F39">
        <v>583119</v>
      </c>
      <c r="G39" s="15">
        <f>(Table1[[#This Row],[Employed]]/Table1[[#This Row],[Population +15]])*100</f>
        <v>31.774710421449381</v>
      </c>
      <c r="H39">
        <v>122406</v>
      </c>
      <c r="I39">
        <f>Table1[[#This Row],[Unemployed]]+Table1[[#This Row],[Employed]]</f>
        <v>705525</v>
      </c>
      <c r="J39" s="15">
        <f>(Table1[[#This Row],[Unemployed]]/Table1[[#This Row],[Labor Force]])*100</f>
        <v>17.34963325183374</v>
      </c>
      <c r="K39">
        <v>2365</v>
      </c>
      <c r="L39">
        <v>732248</v>
      </c>
      <c r="M39">
        <v>28011</v>
      </c>
      <c r="N39" s="15">
        <f>Table1[[#This Row],[Num of Students]]/Table1[[#This Row],[Num of Schools ]]</f>
        <v>309.6186046511628</v>
      </c>
      <c r="O39" s="15">
        <f>Table1[[#This Row],[Number of Classes]]/Table1[[#This Row],[Num of Schools ]]</f>
        <v>11.843974630021142</v>
      </c>
      <c r="P39" s="15">
        <f>Table1[[#This Row],[Num of Students]]/Table1[[#This Row],[Number of Classes]]</f>
        <v>26.141444432544358</v>
      </c>
      <c r="Q39" s="1">
        <v>858768</v>
      </c>
      <c r="R39" s="15">
        <f>Table1[[#This Row],[Num of Students]]/Table1[[#This Row],[Population 5-19]]*100</f>
        <v>85.267266595867568</v>
      </c>
      <c r="S39" s="15">
        <f>Table1[[#This Row],[Num of Schools ]]/Table1[[#This Row],[Population 5-19]]*1000</f>
        <v>2.7539451865928863</v>
      </c>
      <c r="T39">
        <v>7579</v>
      </c>
      <c r="U39">
        <v>2660862</v>
      </c>
      <c r="V39" s="15">
        <f>Table1[[#This Row],[Total Population]]/Table1[[#This Row],[Area ]]</f>
        <v>351.08352025333159</v>
      </c>
    </row>
    <row r="40" spans="1:22" x14ac:dyDescent="0.25">
      <c r="A40" s="2" t="s">
        <v>7</v>
      </c>
      <c r="B40">
        <v>2017</v>
      </c>
      <c r="C40">
        <v>1684</v>
      </c>
      <c r="D40" s="1">
        <v>84783</v>
      </c>
      <c r="E40" s="15">
        <f>(Table1[[#This Row],[establishments]]/Table1[[#This Row],[Population +15]])*1000</f>
        <v>19.862472429614428</v>
      </c>
      <c r="F40">
        <v>29818</v>
      </c>
      <c r="G40" s="15">
        <f>(Table1[[#This Row],[Employed]]/Table1[[#This Row],[Population +15]])*100</f>
        <v>35.169786395857663</v>
      </c>
      <c r="H40">
        <v>5039</v>
      </c>
      <c r="I40">
        <f>Table1[[#This Row],[Unemployed]]+Table1[[#This Row],[Employed]]</f>
        <v>34857</v>
      </c>
      <c r="J40" s="15">
        <f>(Table1[[#This Row],[Unemployed]]/Table1[[#This Row],[Labor Force]])*100</f>
        <v>14.456206787732736</v>
      </c>
      <c r="K40">
        <v>130</v>
      </c>
      <c r="L40">
        <v>45643</v>
      </c>
      <c r="M40">
        <v>1751</v>
      </c>
      <c r="N40" s="15">
        <f>Table1[[#This Row],[Num of Students]]/Table1[[#This Row],[Num of Schools ]]</f>
        <v>351.1</v>
      </c>
      <c r="O40" s="15">
        <f>Table1[[#This Row],[Number of Classes]]/Table1[[#This Row],[Num of Schools ]]</f>
        <v>13.469230769230769</v>
      </c>
      <c r="P40" s="15">
        <f>Table1[[#This Row],[Num of Students]]/Table1[[#This Row],[Number of Classes]]</f>
        <v>26.066818960593945</v>
      </c>
      <c r="Q40" s="1">
        <v>52835</v>
      </c>
      <c r="R40" s="15">
        <f>Table1[[#This Row],[Num of Students]]/Table1[[#This Row],[Population 5-19]]*100</f>
        <v>86.387811110059616</v>
      </c>
      <c r="S40" s="15">
        <f>Table1[[#This Row],[Num of Schools ]]/Table1[[#This Row],[Population 5-19]]*1000</f>
        <v>2.4604902053562978</v>
      </c>
      <c r="T40">
        <v>6900</v>
      </c>
      <c r="U40">
        <v>140649</v>
      </c>
      <c r="V40" s="15">
        <f>Table1[[#This Row],[Total Population]]/Table1[[#This Row],[Area ]]</f>
        <v>20.383913043478262</v>
      </c>
    </row>
    <row r="41" spans="1:22" x14ac:dyDescent="0.25">
      <c r="A41" s="2" t="s">
        <v>4</v>
      </c>
      <c r="B41">
        <v>2017</v>
      </c>
      <c r="C41">
        <v>2511</v>
      </c>
      <c r="D41" s="1">
        <v>276901</v>
      </c>
      <c r="E41" s="15">
        <f>(Table1[[#This Row],[establishments]]/Table1[[#This Row],[Population +15]])*1000</f>
        <v>9.0682229388842934</v>
      </c>
      <c r="F41">
        <v>92375</v>
      </c>
      <c r="G41" s="15">
        <f>(Table1[[#This Row],[Employed]]/Table1[[#This Row],[Population +15]])*100</f>
        <v>33.360298446015001</v>
      </c>
      <c r="H41">
        <v>22086</v>
      </c>
      <c r="I41">
        <f>Table1[[#This Row],[Unemployed]]+Table1[[#This Row],[Employed]]</f>
        <v>114461</v>
      </c>
      <c r="J41" s="15">
        <f>(Table1[[#This Row],[Unemployed]]/Table1[[#This Row],[Labor Force]])*100</f>
        <v>19.295655288700956</v>
      </c>
      <c r="K41">
        <v>482</v>
      </c>
      <c r="L41">
        <v>136113</v>
      </c>
      <c r="M41">
        <v>5384</v>
      </c>
      <c r="N41" s="15">
        <f>Table1[[#This Row],[Num of Students]]/Table1[[#This Row],[Num of Schools ]]</f>
        <v>282.39211618257264</v>
      </c>
      <c r="O41" s="15">
        <f>Table1[[#This Row],[Number of Classes]]/Table1[[#This Row],[Num of Schools ]]</f>
        <v>11.1701244813278</v>
      </c>
      <c r="P41" s="15">
        <f>Table1[[#This Row],[Num of Students]]/Table1[[#This Row],[Number of Classes]]</f>
        <v>25.281017830609212</v>
      </c>
      <c r="Q41" s="1">
        <v>138921</v>
      </c>
      <c r="R41" s="15">
        <f>Table1[[#This Row],[Num of Students]]/Table1[[#This Row],[Population 5-19]]*100</f>
        <v>97.978707322866953</v>
      </c>
      <c r="S41" s="15">
        <f>Table1[[#This Row],[Num of Schools ]]/Table1[[#This Row],[Population 5-19]]*1000</f>
        <v>3.4695978289819394</v>
      </c>
      <c r="T41">
        <v>1119</v>
      </c>
      <c r="U41">
        <v>413430</v>
      </c>
      <c r="V41" s="15">
        <f>Table1[[#This Row],[Total Population]]/Table1[[#This Row],[Area ]]</f>
        <v>369.46380697050938</v>
      </c>
    </row>
    <row r="42" spans="1:22" x14ac:dyDescent="0.25">
      <c r="A42" s="2" t="s">
        <v>3</v>
      </c>
      <c r="B42">
        <v>2017</v>
      </c>
      <c r="C42">
        <v>5413</v>
      </c>
      <c r="D42" s="1">
        <v>888099</v>
      </c>
      <c r="E42" s="15">
        <f>(Table1[[#This Row],[establishments]]/Table1[[#This Row],[Population +15]])*1000</f>
        <v>6.0950412059916736</v>
      </c>
      <c r="F42">
        <v>285347</v>
      </c>
      <c r="G42" s="15">
        <f>(Table1[[#This Row],[Employed]]/Table1[[#This Row],[Population +15]])*100</f>
        <v>32.130089100426865</v>
      </c>
      <c r="H42">
        <v>62005</v>
      </c>
      <c r="I42">
        <f>Table1[[#This Row],[Unemployed]]+Table1[[#This Row],[Employed]]</f>
        <v>347352</v>
      </c>
      <c r="J42" s="15">
        <f>(Table1[[#This Row],[Unemployed]]/Table1[[#This Row],[Labor Force]])*100</f>
        <v>17.850768096916099</v>
      </c>
      <c r="K42">
        <v>1347</v>
      </c>
      <c r="L42">
        <v>358596</v>
      </c>
      <c r="M42">
        <v>14028</v>
      </c>
      <c r="N42" s="15">
        <f>Table1[[#This Row],[Num of Students]]/Table1[[#This Row],[Num of Schools ]]</f>
        <v>266.21826280623605</v>
      </c>
      <c r="O42" s="15">
        <f>Table1[[#This Row],[Number of Classes]]/Table1[[#This Row],[Num of Schools ]]</f>
        <v>10.414253897550111</v>
      </c>
      <c r="P42" s="15">
        <f>Table1[[#This Row],[Num of Students]]/Table1[[#This Row],[Number of Classes]]</f>
        <v>25.562874251497007</v>
      </c>
      <c r="Q42" s="1">
        <v>473742</v>
      </c>
      <c r="R42" s="15">
        <f>Table1[[#This Row],[Num of Students]]/Table1[[#This Row],[Population 5-19]]*100</f>
        <v>75.694365287434934</v>
      </c>
      <c r="S42" s="15">
        <f>Table1[[#This Row],[Num of Schools ]]/Table1[[#This Row],[Population 5-19]]*1000</f>
        <v>2.8433197816533049</v>
      </c>
      <c r="T42">
        <v>1572</v>
      </c>
      <c r="U42">
        <v>1371284</v>
      </c>
      <c r="V42" s="15">
        <f>Table1[[#This Row],[Total Population]]/Table1[[#This Row],[Area ]]</f>
        <v>872.31806615776077</v>
      </c>
    </row>
    <row r="43" spans="1:22" x14ac:dyDescent="0.25">
      <c r="A43" s="2" t="s">
        <v>10</v>
      </c>
      <c r="B43">
        <v>2017</v>
      </c>
      <c r="C43">
        <v>1040</v>
      </c>
      <c r="D43" s="1">
        <v>111485</v>
      </c>
      <c r="E43" s="15">
        <f>(Table1[[#This Row],[establishments]]/Table1[[#This Row],[Population +15]])*1000</f>
        <v>9.3286092299412484</v>
      </c>
      <c r="F43">
        <v>36980</v>
      </c>
      <c r="G43" s="15">
        <f>(Table1[[#This Row],[Employed]]/Table1[[#This Row],[Population +15]])*100</f>
        <v>33.17038166569494</v>
      </c>
      <c r="H43">
        <v>9164</v>
      </c>
      <c r="I43">
        <f>Table1[[#This Row],[Unemployed]]+Table1[[#This Row],[Employed]]</f>
        <v>46144</v>
      </c>
      <c r="J43" s="15">
        <f>(Table1[[#This Row],[Unemployed]]/Table1[[#This Row],[Labor Force]])*100</f>
        <v>19.859570041608876</v>
      </c>
      <c r="K43">
        <v>275</v>
      </c>
      <c r="L43">
        <v>58093</v>
      </c>
      <c r="M43">
        <v>2524</v>
      </c>
      <c r="N43" s="15">
        <f>Table1[[#This Row],[Num of Students]]/Table1[[#This Row],[Num of Schools ]]</f>
        <v>211.24727272727273</v>
      </c>
      <c r="O43" s="15">
        <f>Table1[[#This Row],[Number of Classes]]/Table1[[#This Row],[Num of Schools ]]</f>
        <v>9.1781818181818178</v>
      </c>
      <c r="P43" s="15">
        <f>Table1[[#This Row],[Num of Students]]/Table1[[#This Row],[Number of Classes]]</f>
        <v>23.016244057052297</v>
      </c>
      <c r="Q43" s="1">
        <v>59849</v>
      </c>
      <c r="R43" s="15">
        <f>Table1[[#This Row],[Num of Students]]/Table1[[#This Row],[Population 5-19]]*100</f>
        <v>97.06594930575281</v>
      </c>
      <c r="S43" s="15">
        <f>Table1[[#This Row],[Num of Schools ]]/Table1[[#This Row],[Population 5-19]]*1000</f>
        <v>4.5948971578472486</v>
      </c>
      <c r="T43">
        <v>410</v>
      </c>
      <c r="U43">
        <v>174713</v>
      </c>
      <c r="V43" s="15">
        <f>Table1[[#This Row],[Total Population]]/Table1[[#This Row],[Area ]]</f>
        <v>426.12926829268292</v>
      </c>
    </row>
    <row r="44" spans="1:22" x14ac:dyDescent="0.25">
      <c r="A44" s="2" t="s">
        <v>8</v>
      </c>
      <c r="B44">
        <v>2017</v>
      </c>
      <c r="C44">
        <v>1053</v>
      </c>
      <c r="D44" s="1">
        <v>189632</v>
      </c>
      <c r="E44" s="15">
        <f>(Table1[[#This Row],[establishments]]/Table1[[#This Row],[Population +15]])*1000</f>
        <v>5.5528602767465403</v>
      </c>
      <c r="F44">
        <v>66234</v>
      </c>
      <c r="G44" s="15">
        <f>(Table1[[#This Row],[Employed]]/Table1[[#This Row],[Population +15]])*100</f>
        <v>34.927649341883225</v>
      </c>
      <c r="H44">
        <v>14354</v>
      </c>
      <c r="I44">
        <f>Table1[[#This Row],[Unemployed]]+Table1[[#This Row],[Employed]]</f>
        <v>80588</v>
      </c>
      <c r="J44" s="15">
        <f>(Table1[[#This Row],[Unemployed]]/Table1[[#This Row],[Labor Force]])*100</f>
        <v>17.811584851342634</v>
      </c>
      <c r="K44">
        <v>404</v>
      </c>
      <c r="L44">
        <v>77429</v>
      </c>
      <c r="M44">
        <v>3685</v>
      </c>
      <c r="N44" s="15">
        <f>Table1[[#This Row],[Num of Students]]/Table1[[#This Row],[Num of Schools ]]</f>
        <v>191.65594059405942</v>
      </c>
      <c r="O44" s="15">
        <f>Table1[[#This Row],[Number of Classes]]/Table1[[#This Row],[Num of Schools ]]</f>
        <v>9.1212871287128721</v>
      </c>
      <c r="P44" s="15">
        <f>Table1[[#This Row],[Num of Students]]/Table1[[#This Row],[Number of Classes]]</f>
        <v>21.011940298507461</v>
      </c>
      <c r="Q44" s="1">
        <v>93734</v>
      </c>
      <c r="R44" s="15">
        <f>Table1[[#This Row],[Num of Students]]/Table1[[#This Row],[Population 5-19]]*100</f>
        <v>82.605031258668149</v>
      </c>
      <c r="S44" s="15">
        <f>Table1[[#This Row],[Num of Schools ]]/Table1[[#This Row],[Population 5-19]]*1000</f>
        <v>4.3100689184287448</v>
      </c>
      <c r="T44">
        <v>3495</v>
      </c>
      <c r="U44">
        <v>283773</v>
      </c>
      <c r="V44" s="15">
        <f>Table1[[#This Row],[Total Population]]/Table1[[#This Row],[Area ]]</f>
        <v>81.193991416309018</v>
      </c>
    </row>
    <row r="45" spans="1:22" x14ac:dyDescent="0.25">
      <c r="A45" s="2" t="s">
        <v>14</v>
      </c>
      <c r="B45">
        <v>2017</v>
      </c>
      <c r="C45">
        <v>967</v>
      </c>
      <c r="D45" s="1">
        <v>84294</v>
      </c>
      <c r="E45" s="15">
        <f>(Table1[[#This Row],[establishments]]/Table1[[#This Row],[Population +15]])*1000</f>
        <v>11.471753624219991</v>
      </c>
      <c r="F45">
        <v>27935</v>
      </c>
      <c r="G45" s="15">
        <f>(Table1[[#This Row],[Employed]]/Table1[[#This Row],[Population +15]])*100</f>
        <v>33.139962512159819</v>
      </c>
      <c r="H45">
        <v>8809</v>
      </c>
      <c r="I45">
        <f>Table1[[#This Row],[Unemployed]]+Table1[[#This Row],[Employed]]</f>
        <v>36744</v>
      </c>
      <c r="J45" s="15">
        <f>(Table1[[#This Row],[Unemployed]]/Table1[[#This Row],[Labor Force]])*100</f>
        <v>23.973982146745048</v>
      </c>
      <c r="K45">
        <v>243</v>
      </c>
      <c r="L45">
        <v>38715</v>
      </c>
      <c r="M45">
        <v>2075</v>
      </c>
      <c r="N45" s="15">
        <f>Table1[[#This Row],[Num of Students]]/Table1[[#This Row],[Num of Schools ]]</f>
        <v>159.32098765432099</v>
      </c>
      <c r="O45" s="15">
        <f>Table1[[#This Row],[Number of Classes]]/Table1[[#This Row],[Num of Schools ]]</f>
        <v>8.5390946502057616</v>
      </c>
      <c r="P45" s="15">
        <f>Table1[[#This Row],[Num of Students]]/Table1[[#This Row],[Number of Classes]]</f>
        <v>18.657831325301206</v>
      </c>
      <c r="Q45" s="1">
        <v>46446</v>
      </c>
      <c r="R45" s="15">
        <f>Table1[[#This Row],[Num of Students]]/Table1[[#This Row],[Population 5-19]]*100</f>
        <v>83.354863712698616</v>
      </c>
      <c r="S45" s="15">
        <f>Table1[[#This Row],[Num of Schools ]]/Table1[[#This Row],[Population 5-19]]*1000</f>
        <v>5.2318821857641131</v>
      </c>
      <c r="T45">
        <v>32832</v>
      </c>
      <c r="U45">
        <v>133310</v>
      </c>
      <c r="V45" s="15">
        <f>Table1[[#This Row],[Total Population]]/Table1[[#This Row],[Area ]]</f>
        <v>4.0603679337231968</v>
      </c>
    </row>
    <row r="46" spans="1:22" x14ac:dyDescent="0.25">
      <c r="A46" s="2" t="s">
        <v>13</v>
      </c>
      <c r="B46">
        <v>2017</v>
      </c>
      <c r="C46">
        <v>1005</v>
      </c>
      <c r="D46" s="1">
        <v>108999</v>
      </c>
      <c r="E46" s="15">
        <f>(Table1[[#This Row],[establishments]]/Table1[[#This Row],[Population +15]])*1000</f>
        <v>9.2202680758539071</v>
      </c>
      <c r="F46">
        <v>33229</v>
      </c>
      <c r="G46" s="15">
        <f>(Table1[[#This Row],[Employed]]/Table1[[#This Row],[Population +15]])*100</f>
        <v>30.485600785328305</v>
      </c>
      <c r="H46">
        <v>10819</v>
      </c>
      <c r="I46">
        <f>Table1[[#This Row],[Unemployed]]+Table1[[#This Row],[Employed]]</f>
        <v>44048</v>
      </c>
      <c r="J46" s="15">
        <f>(Table1[[#This Row],[Unemployed]]/Table1[[#This Row],[Labor Force]])*100</f>
        <v>24.561841627315655</v>
      </c>
      <c r="K46">
        <v>205</v>
      </c>
      <c r="L46">
        <v>51278</v>
      </c>
      <c r="M46">
        <v>2233</v>
      </c>
      <c r="N46" s="15">
        <f>Table1[[#This Row],[Num of Students]]/Table1[[#This Row],[Num of Schools ]]</f>
        <v>250.13658536585365</v>
      </c>
      <c r="O46" s="15">
        <f>Table1[[#This Row],[Number of Classes]]/Table1[[#This Row],[Num of Schools ]]</f>
        <v>10.892682926829268</v>
      </c>
      <c r="P46" s="15">
        <f>Table1[[#This Row],[Num of Students]]/Table1[[#This Row],[Number of Classes]]</f>
        <v>22.963725929243171</v>
      </c>
      <c r="Q46" s="1">
        <v>55301</v>
      </c>
      <c r="R46" s="15">
        <f>Table1[[#This Row],[Num of Students]]/Table1[[#This Row],[Population 5-19]]*100</f>
        <v>92.725267174192155</v>
      </c>
      <c r="S46" s="15">
        <f>Table1[[#This Row],[Num of Schools ]]/Table1[[#This Row],[Population 5-19]]*1000</f>
        <v>3.7069854071354951</v>
      </c>
      <c r="T46">
        <v>940</v>
      </c>
      <c r="U46">
        <v>163303</v>
      </c>
      <c r="V46" s="15">
        <f>Table1[[#This Row],[Total Population]]/Table1[[#This Row],[Area ]]</f>
        <v>173.72659574468085</v>
      </c>
    </row>
    <row r="47" spans="1:22" x14ac:dyDescent="0.25">
      <c r="A47" s="2" t="s">
        <v>9</v>
      </c>
      <c r="B47">
        <v>2017</v>
      </c>
      <c r="C47">
        <v>1378</v>
      </c>
      <c r="D47" s="1">
        <v>199667</v>
      </c>
      <c r="E47" s="15">
        <f>(Table1[[#This Row],[establishments]]/Table1[[#This Row],[Population +15]])*1000</f>
        <v>6.9014909824858393</v>
      </c>
      <c r="F47">
        <v>66775</v>
      </c>
      <c r="G47" s="15">
        <f>(Table1[[#This Row],[Employed]]/Table1[[#This Row],[Population +15]])*100</f>
        <v>33.443182899527713</v>
      </c>
      <c r="H47">
        <v>16386</v>
      </c>
      <c r="I47">
        <f>Table1[[#This Row],[Unemployed]]+Table1[[#This Row],[Employed]]</f>
        <v>83161</v>
      </c>
      <c r="J47" s="15">
        <f>(Table1[[#This Row],[Unemployed]]/Table1[[#This Row],[Labor Force]])*100</f>
        <v>19.703947763975901</v>
      </c>
      <c r="K47">
        <v>613</v>
      </c>
      <c r="L47">
        <v>131073</v>
      </c>
      <c r="M47">
        <v>6028</v>
      </c>
      <c r="N47" s="15">
        <f>Table1[[#This Row],[Num of Students]]/Table1[[#This Row],[Num of Schools ]]</f>
        <v>213.82218597063621</v>
      </c>
      <c r="O47" s="15">
        <f>Table1[[#This Row],[Number of Classes]]/Table1[[#This Row],[Num of Schools ]]</f>
        <v>9.8336052202283852</v>
      </c>
      <c r="P47" s="15">
        <f>Table1[[#This Row],[Num of Students]]/Table1[[#This Row],[Number of Classes]]</f>
        <v>21.744027869940279</v>
      </c>
      <c r="Q47" s="1">
        <v>121968</v>
      </c>
      <c r="R47" s="15">
        <f>Table1[[#This Row],[Num of Students]]/Table1[[#This Row],[Population 5-19]]*100</f>
        <v>107.4650728059819</v>
      </c>
      <c r="S47" s="15">
        <f>Table1[[#This Row],[Num of Schools ]]/Table1[[#This Row],[Population 5-19]]*1000</f>
        <v>5.0259084349993435</v>
      </c>
      <c r="T47">
        <v>26541</v>
      </c>
      <c r="U47">
        <v>327177</v>
      </c>
      <c r="V47" s="15">
        <f>Table1[[#This Row],[Total Population]]/Table1[[#This Row],[Area ]]</f>
        <v>12.32722956934554</v>
      </c>
    </row>
    <row r="48" spans="1:22" x14ac:dyDescent="0.25">
      <c r="A48" s="2" t="s">
        <v>6</v>
      </c>
      <c r="B48">
        <v>2017</v>
      </c>
      <c r="C48">
        <v>349</v>
      </c>
      <c r="D48" s="1">
        <v>58407</v>
      </c>
      <c r="E48" s="15">
        <f>(Table1[[#This Row],[establishments]]/Table1[[#This Row],[Population +15]])*1000</f>
        <v>5.9753111784546373</v>
      </c>
      <c r="F48">
        <v>19873</v>
      </c>
      <c r="G48" s="15">
        <f>(Table1[[#This Row],[Employed]]/Table1[[#This Row],[Population +15]])*100</f>
        <v>34.025031246254727</v>
      </c>
      <c r="H48">
        <v>7969</v>
      </c>
      <c r="I48">
        <f>Table1[[#This Row],[Unemployed]]+Table1[[#This Row],[Employed]]</f>
        <v>27842</v>
      </c>
      <c r="J48" s="15">
        <f>(Table1[[#This Row],[Unemployed]]/Table1[[#This Row],[Labor Force]])*100</f>
        <v>28.622225414840891</v>
      </c>
      <c r="K48">
        <v>149</v>
      </c>
      <c r="L48">
        <v>28164</v>
      </c>
      <c r="M48">
        <v>1289</v>
      </c>
      <c r="N48" s="15">
        <f>Table1[[#This Row],[Num of Students]]/Table1[[#This Row],[Num of Schools ]]</f>
        <v>189.02013422818791</v>
      </c>
      <c r="O48" s="15">
        <f>Table1[[#This Row],[Number of Classes]]/Table1[[#This Row],[Num of Schools ]]</f>
        <v>8.651006711409396</v>
      </c>
      <c r="P48" s="15">
        <f>Table1[[#This Row],[Num of Students]]/Table1[[#This Row],[Number of Classes]]</f>
        <v>21.849495733126453</v>
      </c>
      <c r="Q48" s="1">
        <v>34243</v>
      </c>
      <c r="R48" s="15">
        <f>Table1[[#This Row],[Num of Students]]/Table1[[#This Row],[Population 5-19]]*100</f>
        <v>82.247466635516759</v>
      </c>
      <c r="S48" s="15">
        <f>Table1[[#This Row],[Num of Schools ]]/Table1[[#This Row],[Population 5-19]]*1000</f>
        <v>4.351254270945887</v>
      </c>
      <c r="T48">
        <v>2209</v>
      </c>
      <c r="U48">
        <v>93857</v>
      </c>
      <c r="V48" s="15">
        <f>Table1[[#This Row],[Total Population]]/Table1[[#This Row],[Area ]]</f>
        <v>42.488456315074693</v>
      </c>
    </row>
    <row r="49" spans="1:22" x14ac:dyDescent="0.25">
      <c r="A49" s="2" t="s">
        <v>5</v>
      </c>
      <c r="B49">
        <v>2017</v>
      </c>
      <c r="C49">
        <v>4487</v>
      </c>
      <c r="D49" s="1">
        <v>528887</v>
      </c>
      <c r="E49" s="15">
        <f>(Table1[[#This Row],[establishments]]/Table1[[#This Row],[Population +15]])*1000</f>
        <v>8.4838538288897247</v>
      </c>
      <c r="F49">
        <v>189814</v>
      </c>
      <c r="G49" s="15">
        <f>(Table1[[#This Row],[Employed]]/Table1[[#This Row],[Population +15]])*100</f>
        <v>35.889329856850324</v>
      </c>
      <c r="H49">
        <v>41829</v>
      </c>
      <c r="I49">
        <f>Table1[[#This Row],[Unemployed]]+Table1[[#This Row],[Employed]]</f>
        <v>231643</v>
      </c>
      <c r="J49" s="15">
        <f>(Table1[[#This Row],[Unemployed]]/Table1[[#This Row],[Labor Force]])*100</f>
        <v>18.057528179137723</v>
      </c>
      <c r="K49">
        <v>812</v>
      </c>
      <c r="L49">
        <v>291397</v>
      </c>
      <c r="M49">
        <v>9662</v>
      </c>
      <c r="N49" s="15">
        <f>Table1[[#This Row],[Num of Students]]/Table1[[#This Row],[Num of Schools ]]</f>
        <v>358.86330049261085</v>
      </c>
      <c r="O49" s="15">
        <f>Table1[[#This Row],[Number of Classes]]/Table1[[#This Row],[Num of Schools ]]</f>
        <v>11.899014778325123</v>
      </c>
      <c r="P49" s="15">
        <f>Table1[[#This Row],[Num of Students]]/Table1[[#This Row],[Number of Classes]]</f>
        <v>30.159076795694475</v>
      </c>
      <c r="Q49" s="1">
        <v>338767</v>
      </c>
      <c r="R49" s="15">
        <f>Table1[[#This Row],[Num of Students]]/Table1[[#This Row],[Population 5-19]]*100</f>
        <v>86.016937895367619</v>
      </c>
      <c r="S49" s="15">
        <f>Table1[[#This Row],[Num of Schools ]]/Table1[[#This Row],[Population 5-19]]*1000</f>
        <v>2.3969276818580325</v>
      </c>
      <c r="T49">
        <v>4761</v>
      </c>
      <c r="U49">
        <v>961973</v>
      </c>
      <c r="V49" s="15">
        <f>Table1[[#This Row],[Total Population]]/Table1[[#This Row],[Area ]]</f>
        <v>202.05272001680319</v>
      </c>
    </row>
    <row r="50" spans="1:22" x14ac:dyDescent="0.25">
      <c r="A50" s="2" t="s">
        <v>11</v>
      </c>
      <c r="B50">
        <v>2018</v>
      </c>
      <c r="C50">
        <v>775</v>
      </c>
      <c r="D50" s="1">
        <v>110386</v>
      </c>
      <c r="E50" s="15">
        <f>(Table1[[#This Row],[establishments]]/Table1[[#This Row],[Population +15]])*1000</f>
        <v>7.020817857336981</v>
      </c>
      <c r="F50">
        <v>34098</v>
      </c>
      <c r="G50" s="15">
        <f>(Table1[[#This Row],[Employed]]/Table1[[#This Row],[Population +15]])*100</f>
        <v>30.88978674831953</v>
      </c>
      <c r="H50">
        <v>8520</v>
      </c>
      <c r="I50">
        <f>Table1[[#This Row],[Unemployed]]+Table1[[#This Row],[Employed]]</f>
        <v>42618</v>
      </c>
      <c r="J50" s="15">
        <f>(Table1[[#This Row],[Unemployed]]/Table1[[#This Row],[Labor Force]])*100</f>
        <v>19.991552864986627</v>
      </c>
      <c r="K50">
        <v>203</v>
      </c>
      <c r="L50">
        <v>44386</v>
      </c>
      <c r="M50">
        <v>2044</v>
      </c>
      <c r="N50" s="15">
        <f>Table1[[#This Row],[Num of Students]]/Table1[[#This Row],[Num of Schools ]]</f>
        <v>218.65024630541873</v>
      </c>
      <c r="O50" s="15">
        <f>Table1[[#This Row],[Number of Classes]]/Table1[[#This Row],[Num of Schools ]]</f>
        <v>10.068965517241379</v>
      </c>
      <c r="P50" s="15">
        <f>Table1[[#This Row],[Num of Students]]/Table1[[#This Row],[Number of Classes]]</f>
        <v>21.715264187866929</v>
      </c>
      <c r="Q50" s="1">
        <v>54523</v>
      </c>
      <c r="R50" s="15">
        <f>Table1[[#This Row],[Num of Students]]/Table1[[#This Row],[Population 5-19]]*100</f>
        <v>81.407846230031367</v>
      </c>
      <c r="S50" s="15">
        <f>Table1[[#This Row],[Num of Schools ]]/Table1[[#This Row],[Population 5-19]]*1000</f>
        <v>3.7231993837463091</v>
      </c>
      <c r="T50">
        <v>420</v>
      </c>
      <c r="U50">
        <v>167724</v>
      </c>
      <c r="V50" s="15">
        <f>Table1[[#This Row],[Total Population]]/Table1[[#This Row],[Area ]]</f>
        <v>399.34285714285716</v>
      </c>
    </row>
    <row r="51" spans="1:22" x14ac:dyDescent="0.25">
      <c r="A51" s="2" t="s">
        <v>12</v>
      </c>
      <c r="B51">
        <v>2018</v>
      </c>
      <c r="C51">
        <v>31527</v>
      </c>
      <c r="D51" s="1">
        <v>1930609</v>
      </c>
      <c r="E51" s="15">
        <f>(Table1[[#This Row],[establishments]]/Table1[[#This Row],[Population +15]])*1000</f>
        <v>16.33008030108634</v>
      </c>
      <c r="F51">
        <v>536058</v>
      </c>
      <c r="G51" s="15">
        <f>(Table1[[#This Row],[Employed]]/Table1[[#This Row],[Population +15]])*100</f>
        <v>27.766264427442326</v>
      </c>
      <c r="H51">
        <v>123637</v>
      </c>
      <c r="I51">
        <f>Table1[[#This Row],[Unemployed]]+Table1[[#This Row],[Employed]]</f>
        <v>659695</v>
      </c>
      <c r="J51" s="15">
        <f>(Table1[[#This Row],[Unemployed]]/Table1[[#This Row],[Labor Force]])*100</f>
        <v>18.741539650899281</v>
      </c>
      <c r="K51">
        <v>2336</v>
      </c>
      <c r="L51">
        <v>755520</v>
      </c>
      <c r="M51">
        <v>29213</v>
      </c>
      <c r="N51" s="15">
        <f>Table1[[#This Row],[Num of Students]]/Table1[[#This Row],[Num of Schools ]]</f>
        <v>323.42465753424659</v>
      </c>
      <c r="O51" s="15">
        <f>Table1[[#This Row],[Number of Classes]]/Table1[[#This Row],[Num of Schools ]]</f>
        <v>12.505565068493151</v>
      </c>
      <c r="P51" s="15">
        <f>Table1[[#This Row],[Num of Students]]/Table1[[#This Row],[Number of Classes]]</f>
        <v>25.862458494505869</v>
      </c>
      <c r="Q51" s="1">
        <v>861299</v>
      </c>
      <c r="R51" s="15">
        <f>Table1[[#This Row],[Num of Students]]/Table1[[#This Row],[Population 5-19]]*100</f>
        <v>87.71866680444306</v>
      </c>
      <c r="S51" s="15">
        <f>Table1[[#This Row],[Num of Schools ]]/Table1[[#This Row],[Population 5-19]]*1000</f>
        <v>2.7121824128438554</v>
      </c>
      <c r="T51">
        <v>7579</v>
      </c>
      <c r="U51">
        <v>2726081</v>
      </c>
      <c r="V51" s="15">
        <f>Table1[[#This Row],[Total Population]]/Table1[[#This Row],[Area ]]</f>
        <v>359.68874521704709</v>
      </c>
    </row>
    <row r="52" spans="1:22" x14ac:dyDescent="0.25">
      <c r="A52" s="2" t="s">
        <v>7</v>
      </c>
      <c r="B52">
        <v>2018</v>
      </c>
      <c r="C52">
        <v>1771</v>
      </c>
      <c r="D52" s="1">
        <v>90718</v>
      </c>
      <c r="E52" s="15">
        <f>(Table1[[#This Row],[establishments]]/Table1[[#This Row],[Population +15]])*1000</f>
        <v>19.522035318238938</v>
      </c>
      <c r="F52">
        <v>29231</v>
      </c>
      <c r="G52" s="15">
        <f>(Table1[[#This Row],[Employed]]/Table1[[#This Row],[Population +15]])*100</f>
        <v>32.221830287263828</v>
      </c>
      <c r="H52">
        <v>6649</v>
      </c>
      <c r="I52">
        <f>Table1[[#This Row],[Unemployed]]+Table1[[#This Row],[Employed]]</f>
        <v>35880</v>
      </c>
      <c r="J52" s="15">
        <f>(Table1[[#This Row],[Unemployed]]/Table1[[#This Row],[Labor Force]])*100</f>
        <v>18.531215161649943</v>
      </c>
      <c r="K52">
        <v>137</v>
      </c>
      <c r="L52">
        <v>47776</v>
      </c>
      <c r="M52">
        <v>1853</v>
      </c>
      <c r="N52" s="15">
        <f>Table1[[#This Row],[Num of Students]]/Table1[[#This Row],[Num of Schools ]]</f>
        <v>348.7299270072993</v>
      </c>
      <c r="O52" s="15">
        <f>Table1[[#This Row],[Number of Classes]]/Table1[[#This Row],[Num of Schools ]]</f>
        <v>13.525547445255475</v>
      </c>
      <c r="P52" s="15">
        <f>Table1[[#This Row],[Num of Students]]/Table1[[#This Row],[Number of Classes]]</f>
        <v>25.783054506206152</v>
      </c>
      <c r="Q52" s="1">
        <v>53311</v>
      </c>
      <c r="R52" s="15">
        <f>Table1[[#This Row],[Num of Students]]/Table1[[#This Row],[Population 5-19]]*100</f>
        <v>89.617527339573442</v>
      </c>
      <c r="S52" s="15">
        <f>Table1[[#This Row],[Num of Schools ]]/Table1[[#This Row],[Population 5-19]]*1000</f>
        <v>2.5698261146855246</v>
      </c>
      <c r="T52">
        <v>6900</v>
      </c>
      <c r="U52">
        <v>144022</v>
      </c>
      <c r="V52" s="15">
        <f>Table1[[#This Row],[Total Population]]/Table1[[#This Row],[Area ]]</f>
        <v>20.872753623188405</v>
      </c>
    </row>
    <row r="53" spans="1:22" x14ac:dyDescent="0.25">
      <c r="A53" s="2" t="s">
        <v>4</v>
      </c>
      <c r="B53">
        <v>2018</v>
      </c>
      <c r="C53">
        <v>2663</v>
      </c>
      <c r="D53" s="1">
        <v>286373</v>
      </c>
      <c r="E53" s="15">
        <f>(Table1[[#This Row],[establishments]]/Table1[[#This Row],[Population +15]])*1000</f>
        <v>9.2990610148303077</v>
      </c>
      <c r="F53">
        <v>85433</v>
      </c>
      <c r="G53" s="15">
        <f>(Table1[[#This Row],[Employed]]/Table1[[#This Row],[Population +15]])*100</f>
        <v>29.832770547502736</v>
      </c>
      <c r="H53">
        <v>19418</v>
      </c>
      <c r="I53">
        <f>Table1[[#This Row],[Unemployed]]+Table1[[#This Row],[Employed]]</f>
        <v>104851</v>
      </c>
      <c r="J53" s="15">
        <f>(Table1[[#This Row],[Unemployed]]/Table1[[#This Row],[Labor Force]])*100</f>
        <v>18.519613546842663</v>
      </c>
      <c r="K53">
        <v>495</v>
      </c>
      <c r="L53">
        <v>139839</v>
      </c>
      <c r="M53">
        <v>5627</v>
      </c>
      <c r="N53" s="15">
        <f>Table1[[#This Row],[Num of Students]]/Table1[[#This Row],[Num of Schools ]]</f>
        <v>282.5030303030303</v>
      </c>
      <c r="O53" s="15">
        <f>Table1[[#This Row],[Number of Classes]]/Table1[[#This Row],[Num of Schools ]]</f>
        <v>11.367676767676768</v>
      </c>
      <c r="P53" s="15">
        <f>Table1[[#This Row],[Num of Students]]/Table1[[#This Row],[Number of Classes]]</f>
        <v>24.85143060245246</v>
      </c>
      <c r="Q53" s="1">
        <v>141037</v>
      </c>
      <c r="R53" s="15">
        <f>Table1[[#This Row],[Num of Students]]/Table1[[#This Row],[Population 5-19]]*100</f>
        <v>99.150577508029798</v>
      </c>
      <c r="S53" s="15">
        <f>Table1[[#This Row],[Num of Schools ]]/Table1[[#This Row],[Population 5-19]]*1000</f>
        <v>3.5097173082240829</v>
      </c>
      <c r="T53">
        <v>1119</v>
      </c>
      <c r="U53">
        <v>423550</v>
      </c>
      <c r="V53" s="15">
        <f>Table1[[#This Row],[Total Population]]/Table1[[#This Row],[Area ]]</f>
        <v>378.5075960679178</v>
      </c>
    </row>
    <row r="54" spans="1:22" x14ac:dyDescent="0.25">
      <c r="A54" s="2" t="s">
        <v>3</v>
      </c>
      <c r="B54">
        <v>2018</v>
      </c>
      <c r="C54">
        <v>5377</v>
      </c>
      <c r="D54" s="1">
        <v>935595</v>
      </c>
      <c r="E54" s="15">
        <f>(Table1[[#This Row],[establishments]]/Table1[[#This Row],[Population +15]])*1000</f>
        <v>5.7471448650324133</v>
      </c>
      <c r="F54">
        <v>288419</v>
      </c>
      <c r="G54" s="15">
        <f>(Table1[[#This Row],[Employed]]/Table1[[#This Row],[Population +15]])*100</f>
        <v>30.827334476990575</v>
      </c>
      <c r="H54">
        <v>56900</v>
      </c>
      <c r="I54">
        <f>Table1[[#This Row],[Unemployed]]+Table1[[#This Row],[Employed]]</f>
        <v>345319</v>
      </c>
      <c r="J54" s="15">
        <f>(Table1[[#This Row],[Unemployed]]/Table1[[#This Row],[Labor Force]])*100</f>
        <v>16.477517889256021</v>
      </c>
      <c r="K54">
        <v>1350</v>
      </c>
      <c r="L54">
        <v>370418</v>
      </c>
      <c r="M54">
        <v>14501</v>
      </c>
      <c r="N54" s="15">
        <f>Table1[[#This Row],[Num of Students]]/Table1[[#This Row],[Num of Schools ]]</f>
        <v>274.3837037037037</v>
      </c>
      <c r="O54" s="15">
        <f>Table1[[#This Row],[Number of Classes]]/Table1[[#This Row],[Num of Schools ]]</f>
        <v>10.741481481481481</v>
      </c>
      <c r="P54" s="15">
        <f>Table1[[#This Row],[Num of Students]]/Table1[[#This Row],[Number of Classes]]</f>
        <v>25.544307289152471</v>
      </c>
      <c r="Q54" s="1">
        <v>470884</v>
      </c>
      <c r="R54" s="15">
        <f>Table1[[#This Row],[Num of Students]]/Table1[[#This Row],[Population 5-19]]*100</f>
        <v>78.664384434382995</v>
      </c>
      <c r="S54" s="15">
        <f>Table1[[#This Row],[Num of Schools ]]/Table1[[#This Row],[Population 5-19]]*1000</f>
        <v>2.8669481231046285</v>
      </c>
      <c r="T54">
        <v>1572</v>
      </c>
      <c r="U54">
        <v>1404715</v>
      </c>
      <c r="V54" s="15">
        <f>Table1[[#This Row],[Total Population]]/Table1[[#This Row],[Area ]]</f>
        <v>893.58460559796436</v>
      </c>
    </row>
    <row r="55" spans="1:22" x14ac:dyDescent="0.25">
      <c r="A55" s="2" t="s">
        <v>10</v>
      </c>
      <c r="B55">
        <v>2018</v>
      </c>
      <c r="C55">
        <v>997</v>
      </c>
      <c r="D55" s="1">
        <v>114539</v>
      </c>
      <c r="E55" s="15">
        <f>(Table1[[#This Row],[establishments]]/Table1[[#This Row],[Population +15]])*1000</f>
        <v>8.7044587433101395</v>
      </c>
      <c r="F55">
        <v>36982</v>
      </c>
      <c r="G55" s="15">
        <f>(Table1[[#This Row],[Employed]]/Table1[[#This Row],[Population +15]])*100</f>
        <v>32.2876924017147</v>
      </c>
      <c r="H55">
        <v>9136</v>
      </c>
      <c r="I55">
        <f>Table1[[#This Row],[Unemployed]]+Table1[[#This Row],[Employed]]</f>
        <v>46118</v>
      </c>
      <c r="J55" s="15">
        <f>(Table1[[#This Row],[Unemployed]]/Table1[[#This Row],[Labor Force]])*100</f>
        <v>19.810052474088209</v>
      </c>
      <c r="K55">
        <v>272</v>
      </c>
      <c r="L55">
        <v>60154</v>
      </c>
      <c r="M55">
        <v>2589</v>
      </c>
      <c r="N55" s="15">
        <f>Table1[[#This Row],[Num of Students]]/Table1[[#This Row],[Num of Schools ]]</f>
        <v>221.15441176470588</v>
      </c>
      <c r="O55" s="15">
        <f>Table1[[#This Row],[Number of Classes]]/Table1[[#This Row],[Num of Schools ]]</f>
        <v>9.5183823529411757</v>
      </c>
      <c r="P55" s="15">
        <f>Table1[[#This Row],[Num of Students]]/Table1[[#This Row],[Number of Classes]]</f>
        <v>23.234453456933178</v>
      </c>
      <c r="Q55" s="1">
        <v>62856</v>
      </c>
      <c r="R55" s="15">
        <f>Table1[[#This Row],[Num of Students]]/Table1[[#This Row],[Population 5-19]]*100</f>
        <v>95.701285477917793</v>
      </c>
      <c r="S55" s="15">
        <f>Table1[[#This Row],[Num of Schools ]]/Table1[[#This Row],[Population 5-19]]*1000</f>
        <v>4.3273514063892069</v>
      </c>
      <c r="T55">
        <v>410</v>
      </c>
      <c r="U55">
        <v>179000</v>
      </c>
      <c r="V55" s="15">
        <f>Table1[[#This Row],[Total Population]]/Table1[[#This Row],[Area ]]</f>
        <v>436.58536585365852</v>
      </c>
    </row>
    <row r="56" spans="1:22" x14ac:dyDescent="0.25">
      <c r="A56" s="2" t="s">
        <v>8</v>
      </c>
      <c r="B56">
        <v>2018</v>
      </c>
      <c r="C56">
        <v>1115</v>
      </c>
      <c r="D56" s="1">
        <v>192479</v>
      </c>
      <c r="E56" s="15">
        <f>(Table1[[#This Row],[establishments]]/Table1[[#This Row],[Population +15]])*1000</f>
        <v>5.7928397383610681</v>
      </c>
      <c r="F56">
        <v>68055</v>
      </c>
      <c r="G56" s="15">
        <f>(Table1[[#This Row],[Employed]]/Table1[[#This Row],[Population +15]])*100</f>
        <v>35.357103891853136</v>
      </c>
      <c r="H56">
        <v>12372</v>
      </c>
      <c r="I56">
        <f>Table1[[#This Row],[Unemployed]]+Table1[[#This Row],[Employed]]</f>
        <v>80427</v>
      </c>
      <c r="J56" s="15">
        <f>(Table1[[#This Row],[Unemployed]]/Table1[[#This Row],[Labor Force]])*100</f>
        <v>15.382893804319444</v>
      </c>
      <c r="K56">
        <v>414</v>
      </c>
      <c r="L56">
        <v>80285</v>
      </c>
      <c r="M56">
        <v>3869</v>
      </c>
      <c r="N56" s="15">
        <f>Table1[[#This Row],[Num of Students]]/Table1[[#This Row],[Num of Schools ]]</f>
        <v>193.92512077294685</v>
      </c>
      <c r="O56" s="15">
        <f>Table1[[#This Row],[Number of Classes]]/Table1[[#This Row],[Num of Schools ]]</f>
        <v>9.345410628019323</v>
      </c>
      <c r="P56" s="15">
        <f>Table1[[#This Row],[Num of Students]]/Table1[[#This Row],[Number of Classes]]</f>
        <v>20.750840010338589</v>
      </c>
      <c r="Q56" s="1">
        <v>97296</v>
      </c>
      <c r="R56" s="15">
        <f>Table1[[#This Row],[Num of Students]]/Table1[[#This Row],[Population 5-19]]*100</f>
        <v>82.516239105410293</v>
      </c>
      <c r="S56" s="15">
        <f>Table1[[#This Row],[Num of Schools ]]/Table1[[#This Row],[Population 5-19]]*1000</f>
        <v>4.2550567340897878</v>
      </c>
      <c r="T56">
        <v>3495</v>
      </c>
      <c r="U56">
        <v>290724</v>
      </c>
      <c r="V56" s="15">
        <f>Table1[[#This Row],[Total Population]]/Table1[[#This Row],[Area ]]</f>
        <v>83.182832618025756</v>
      </c>
    </row>
    <row r="57" spans="1:22" x14ac:dyDescent="0.25">
      <c r="A57" s="2" t="s">
        <v>14</v>
      </c>
      <c r="B57">
        <v>2018</v>
      </c>
      <c r="C57">
        <v>1024</v>
      </c>
      <c r="D57" s="1">
        <v>86695</v>
      </c>
      <c r="E57" s="15">
        <f>(Table1[[#This Row],[establishments]]/Table1[[#This Row],[Population +15]])*1000</f>
        <v>11.811523155891342</v>
      </c>
      <c r="F57">
        <v>31452</v>
      </c>
      <c r="G57" s="15">
        <f>(Table1[[#This Row],[Employed]]/Table1[[#This Row],[Population +15]])*100</f>
        <v>36.278908818270949</v>
      </c>
      <c r="H57">
        <v>8097</v>
      </c>
      <c r="I57">
        <f>Table1[[#This Row],[Unemployed]]+Table1[[#This Row],[Employed]]</f>
        <v>39549</v>
      </c>
      <c r="J57" s="15">
        <f>(Table1[[#This Row],[Unemployed]]/Table1[[#This Row],[Labor Force]])*100</f>
        <v>20.473336873245849</v>
      </c>
      <c r="K57">
        <v>240</v>
      </c>
      <c r="L57">
        <v>39384</v>
      </c>
      <c r="M57">
        <v>2142</v>
      </c>
      <c r="N57" s="15">
        <f>Table1[[#This Row],[Num of Students]]/Table1[[#This Row],[Num of Schools ]]</f>
        <v>164.1</v>
      </c>
      <c r="O57" s="15">
        <f>Table1[[#This Row],[Number of Classes]]/Table1[[#This Row],[Num of Schools ]]</f>
        <v>8.9250000000000007</v>
      </c>
      <c r="P57" s="15">
        <f>Table1[[#This Row],[Num of Students]]/Table1[[#This Row],[Number of Classes]]</f>
        <v>18.386554621848738</v>
      </c>
      <c r="Q57" s="1">
        <v>46133</v>
      </c>
      <c r="R57" s="15">
        <f>Table1[[#This Row],[Num of Students]]/Table1[[#This Row],[Population 5-19]]*100</f>
        <v>85.370559035831178</v>
      </c>
      <c r="S57" s="15">
        <f>Table1[[#This Row],[Num of Schools ]]/Table1[[#This Row],[Population 5-19]]*1000</f>
        <v>5.2023497279604625</v>
      </c>
      <c r="T57">
        <v>32832</v>
      </c>
      <c r="U57">
        <v>136582</v>
      </c>
      <c r="V57" s="15">
        <f>Table1[[#This Row],[Total Population]]/Table1[[#This Row],[Area ]]</f>
        <v>4.1600268031189085</v>
      </c>
    </row>
    <row r="58" spans="1:22" x14ac:dyDescent="0.25">
      <c r="A58" s="2" t="s">
        <v>13</v>
      </c>
      <c r="B58">
        <v>2018</v>
      </c>
      <c r="C58">
        <v>1110</v>
      </c>
      <c r="D58" s="1">
        <v>115153</v>
      </c>
      <c r="E58" s="15">
        <f>(Table1[[#This Row],[establishments]]/Table1[[#This Row],[Population +15]])*1000</f>
        <v>9.6393493873368463</v>
      </c>
      <c r="F58">
        <v>31535</v>
      </c>
      <c r="G58" s="15">
        <f>(Table1[[#This Row],[Employed]]/Table1[[#This Row],[Population +15]])*100</f>
        <v>27.385304768438512</v>
      </c>
      <c r="H58">
        <v>9549</v>
      </c>
      <c r="I58">
        <f>Table1[[#This Row],[Unemployed]]+Table1[[#This Row],[Employed]]</f>
        <v>41084</v>
      </c>
      <c r="J58" s="15">
        <f>(Table1[[#This Row],[Unemployed]]/Table1[[#This Row],[Labor Force]])*100</f>
        <v>23.242624866127933</v>
      </c>
      <c r="K58">
        <v>219</v>
      </c>
      <c r="L58">
        <v>53823</v>
      </c>
      <c r="M58">
        <v>2375</v>
      </c>
      <c r="N58" s="15">
        <f>Table1[[#This Row],[Num of Students]]/Table1[[#This Row],[Num of Schools ]]</f>
        <v>245.76712328767124</v>
      </c>
      <c r="O58" s="15">
        <f>Table1[[#This Row],[Number of Classes]]/Table1[[#This Row],[Num of Schools ]]</f>
        <v>10.844748858447488</v>
      </c>
      <c r="P58" s="15">
        <f>Table1[[#This Row],[Num of Students]]/Table1[[#This Row],[Number of Classes]]</f>
        <v>22.662315789473684</v>
      </c>
      <c r="Q58" s="1">
        <v>54014</v>
      </c>
      <c r="R58" s="15">
        <f>Table1[[#This Row],[Num of Students]]/Table1[[#This Row],[Population 5-19]]*100</f>
        <v>99.646387973488359</v>
      </c>
      <c r="S58" s="15">
        <f>Table1[[#This Row],[Num of Schools ]]/Table1[[#This Row],[Population 5-19]]*1000</f>
        <v>4.054504387751324</v>
      </c>
      <c r="T58">
        <v>940</v>
      </c>
      <c r="U58">
        <v>167287</v>
      </c>
      <c r="V58" s="15">
        <f>Table1[[#This Row],[Total Population]]/Table1[[#This Row],[Area ]]</f>
        <v>177.96489361702129</v>
      </c>
    </row>
    <row r="59" spans="1:22" x14ac:dyDescent="0.25">
      <c r="A59" s="2" t="s">
        <v>9</v>
      </c>
      <c r="B59">
        <v>2018</v>
      </c>
      <c r="C59">
        <v>1520</v>
      </c>
      <c r="D59" s="1">
        <v>204813</v>
      </c>
      <c r="E59" s="15">
        <f>(Table1[[#This Row],[establishments]]/Table1[[#This Row],[Population +15]])*1000</f>
        <v>7.4214039147905657</v>
      </c>
      <c r="F59">
        <v>65119</v>
      </c>
      <c r="G59" s="15">
        <f>(Table1[[#This Row],[Employed]]/Table1[[#This Row],[Population +15]])*100</f>
        <v>31.794368521529393</v>
      </c>
      <c r="H59">
        <v>15184</v>
      </c>
      <c r="I59">
        <f>Table1[[#This Row],[Unemployed]]+Table1[[#This Row],[Employed]]</f>
        <v>80303</v>
      </c>
      <c r="J59" s="15">
        <f>(Table1[[#This Row],[Unemployed]]/Table1[[#This Row],[Labor Force]])*100</f>
        <v>18.908384493729997</v>
      </c>
      <c r="K59">
        <v>628</v>
      </c>
      <c r="L59">
        <v>135770</v>
      </c>
      <c r="M59">
        <v>6387</v>
      </c>
      <c r="N59" s="15">
        <f>Table1[[#This Row],[Num of Students]]/Table1[[#This Row],[Num of Schools ]]</f>
        <v>216.19426751592357</v>
      </c>
      <c r="O59" s="15">
        <f>Table1[[#This Row],[Number of Classes]]/Table1[[#This Row],[Num of Schools ]]</f>
        <v>10.170382165605096</v>
      </c>
      <c r="P59" s="15">
        <f>Table1[[#This Row],[Num of Students]]/Table1[[#This Row],[Number of Classes]]</f>
        <v>21.257241271332393</v>
      </c>
      <c r="Q59" s="1">
        <v>126059</v>
      </c>
      <c r="R59" s="15">
        <f>Table1[[#This Row],[Num of Students]]/Table1[[#This Row],[Population 5-19]]*100</f>
        <v>107.70353564600703</v>
      </c>
      <c r="S59" s="15">
        <f>Table1[[#This Row],[Num of Schools ]]/Table1[[#This Row],[Population 5-19]]*1000</f>
        <v>4.9817942392054517</v>
      </c>
      <c r="T59">
        <v>26541</v>
      </c>
      <c r="U59">
        <v>335109</v>
      </c>
      <c r="V59" s="15">
        <f>Table1[[#This Row],[Total Population]]/Table1[[#This Row],[Area ]]</f>
        <v>12.626087939414491</v>
      </c>
    </row>
    <row r="60" spans="1:22" x14ac:dyDescent="0.25">
      <c r="A60" s="2" t="s">
        <v>6</v>
      </c>
      <c r="B60">
        <v>2018</v>
      </c>
      <c r="C60">
        <v>414</v>
      </c>
      <c r="D60" s="1">
        <v>62204</v>
      </c>
      <c r="E60" s="15">
        <f>(Table1[[#This Row],[establishments]]/Table1[[#This Row],[Population +15]])*1000</f>
        <v>6.6555205453025525</v>
      </c>
      <c r="F60">
        <v>21599</v>
      </c>
      <c r="G60" s="15">
        <f>(Table1[[#This Row],[Employed]]/Table1[[#This Row],[Population +15]])*100</f>
        <v>34.722847405311555</v>
      </c>
      <c r="H60">
        <v>6652</v>
      </c>
      <c r="I60">
        <f>Table1[[#This Row],[Unemployed]]+Table1[[#This Row],[Employed]]</f>
        <v>28251</v>
      </c>
      <c r="J60" s="15">
        <f>(Table1[[#This Row],[Unemployed]]/Table1[[#This Row],[Labor Force]])*100</f>
        <v>23.54606916569325</v>
      </c>
      <c r="K60">
        <v>147</v>
      </c>
      <c r="L60">
        <v>28753</v>
      </c>
      <c r="M60">
        <v>1305</v>
      </c>
      <c r="N60" s="15">
        <f>Table1[[#This Row],[Num of Students]]/Table1[[#This Row],[Num of Schools ]]</f>
        <v>195.59863945578232</v>
      </c>
      <c r="O60" s="15">
        <f>Table1[[#This Row],[Number of Classes]]/Table1[[#This Row],[Num of Schools ]]</f>
        <v>8.8775510204081627</v>
      </c>
      <c r="P60" s="15">
        <f>Table1[[#This Row],[Num of Students]]/Table1[[#This Row],[Number of Classes]]</f>
        <v>22.03295019157088</v>
      </c>
      <c r="Q60" s="1">
        <v>33451</v>
      </c>
      <c r="R60" s="15">
        <f>Table1[[#This Row],[Num of Students]]/Table1[[#This Row],[Population 5-19]]*100</f>
        <v>85.955576813847117</v>
      </c>
      <c r="S60" s="15">
        <f>Table1[[#This Row],[Num of Schools ]]/Table1[[#This Row],[Population 5-19]]*1000</f>
        <v>4.394487459268781</v>
      </c>
      <c r="T60">
        <v>2209</v>
      </c>
      <c r="U60">
        <v>96160</v>
      </c>
      <c r="V60" s="15">
        <f>Table1[[#This Row],[Total Population]]/Table1[[#This Row],[Area ]]</f>
        <v>43.531009506564054</v>
      </c>
    </row>
    <row r="61" spans="1:22" x14ac:dyDescent="0.25">
      <c r="A61" s="2" t="s">
        <v>5</v>
      </c>
      <c r="B61">
        <v>2018</v>
      </c>
      <c r="C61">
        <v>4561</v>
      </c>
      <c r="D61" s="1">
        <v>660053</v>
      </c>
      <c r="E61" s="15">
        <f>(Table1[[#This Row],[establishments]]/Table1[[#This Row],[Population +15]])*1000</f>
        <v>6.9100511625581582</v>
      </c>
      <c r="F61">
        <v>183282</v>
      </c>
      <c r="G61" s="15">
        <f>(Table1[[#This Row],[Employed]]/Table1[[#This Row],[Population +15]])*100</f>
        <v>27.767770163911081</v>
      </c>
      <c r="H61">
        <v>46871</v>
      </c>
      <c r="I61">
        <f>Table1[[#This Row],[Unemployed]]+Table1[[#This Row],[Employed]]</f>
        <v>230153</v>
      </c>
      <c r="J61" s="15">
        <f>(Table1[[#This Row],[Unemployed]]/Table1[[#This Row],[Labor Force]])*100</f>
        <v>20.365148401280887</v>
      </c>
      <c r="K61">
        <v>821</v>
      </c>
      <c r="L61">
        <v>295733</v>
      </c>
      <c r="M61">
        <v>9972</v>
      </c>
      <c r="N61" s="15">
        <f>Table1[[#This Row],[Num of Students]]/Table1[[#This Row],[Num of Schools ]]</f>
        <v>360.21071863581</v>
      </c>
      <c r="O61" s="15">
        <f>Table1[[#This Row],[Number of Classes]]/Table1[[#This Row],[Num of Schools ]]</f>
        <v>12.146163215590743</v>
      </c>
      <c r="P61" s="15">
        <f>Table1[[#This Row],[Num of Students]]/Table1[[#This Row],[Number of Classes]]</f>
        <v>29.656337745687924</v>
      </c>
      <c r="Q61" s="1">
        <v>343421</v>
      </c>
      <c r="R61" s="15">
        <f>Table1[[#This Row],[Num of Students]]/Table1[[#This Row],[Population 5-19]]*100</f>
        <v>86.11383695231217</v>
      </c>
      <c r="S61" s="15">
        <f>Table1[[#This Row],[Num of Schools ]]/Table1[[#This Row],[Population 5-19]]*1000</f>
        <v>2.3906517073795723</v>
      </c>
      <c r="T61">
        <v>4761</v>
      </c>
      <c r="U61">
        <v>985516</v>
      </c>
      <c r="V61" s="15">
        <f>Table1[[#This Row],[Total Population]]/Table1[[#This Row],[Area ]]</f>
        <v>206.99768956101659</v>
      </c>
    </row>
    <row r="62" spans="1:22" x14ac:dyDescent="0.25">
      <c r="A62" s="2" t="s">
        <v>11</v>
      </c>
      <c r="B62">
        <v>2019</v>
      </c>
      <c r="C62">
        <v>707</v>
      </c>
      <c r="D62" s="1">
        <v>111754</v>
      </c>
      <c r="E62" s="15">
        <f>(Table1[[#This Row],[establishments]]/Table1[[#This Row],[Population +15]])*1000</f>
        <v>6.3263954757771534</v>
      </c>
      <c r="F62">
        <v>34530</v>
      </c>
      <c r="G62" s="15">
        <f>(Table1[[#This Row],[Employed]]/Table1[[#This Row],[Population +15]])*100</f>
        <v>30.898222882402422</v>
      </c>
      <c r="H62">
        <v>8347</v>
      </c>
      <c r="I62">
        <f>Table1[[#This Row],[Unemployed]]+Table1[[#This Row],[Employed]]</f>
        <v>42877</v>
      </c>
      <c r="J62" s="15">
        <f>(Table1[[#This Row],[Unemployed]]/Table1[[#This Row],[Labor Force]])*100</f>
        <v>19.467313478088485</v>
      </c>
      <c r="K62">
        <v>219</v>
      </c>
      <c r="L62">
        <v>46083</v>
      </c>
      <c r="M62">
        <v>2170</v>
      </c>
      <c r="N62" s="15">
        <f>Table1[[#This Row],[Num of Students]]/Table1[[#This Row],[Num of Schools ]]</f>
        <v>210.42465753424656</v>
      </c>
      <c r="O62" s="15">
        <f>Table1[[#This Row],[Number of Classes]]/Table1[[#This Row],[Num of Schools ]]</f>
        <v>9.9086757990867582</v>
      </c>
      <c r="P62" s="15">
        <f>Table1[[#This Row],[Num of Students]]/Table1[[#This Row],[Number of Classes]]</f>
        <v>21.236405529953917</v>
      </c>
      <c r="Q62" s="1">
        <v>56013</v>
      </c>
      <c r="R62" s="15">
        <f>Table1[[#This Row],[Num of Students]]/Table1[[#This Row],[Population 5-19]]*100</f>
        <v>82.271972577794443</v>
      </c>
      <c r="S62" s="15">
        <f>Table1[[#This Row],[Num of Schools ]]/Table1[[#This Row],[Population 5-19]]*1000</f>
        <v>3.9098066520272083</v>
      </c>
      <c r="T62">
        <v>420</v>
      </c>
      <c r="U62">
        <v>171754</v>
      </c>
      <c r="V62" s="15">
        <f>Table1[[#This Row],[Total Population]]/Table1[[#This Row],[Area ]]</f>
        <v>408.93809523809523</v>
      </c>
    </row>
    <row r="63" spans="1:22" x14ac:dyDescent="0.25">
      <c r="A63" s="2" t="s">
        <v>12</v>
      </c>
      <c r="B63">
        <v>2019</v>
      </c>
      <c r="C63">
        <v>32455</v>
      </c>
      <c r="D63" s="1">
        <v>2000965</v>
      </c>
      <c r="E63" s="15">
        <f>(Table1[[#This Row],[establishments]]/Table1[[#This Row],[Population +15]])*1000</f>
        <v>16.219674007291484</v>
      </c>
      <c r="F63">
        <v>521237</v>
      </c>
      <c r="G63" s="15">
        <f>(Table1[[#This Row],[Employed]]/Table1[[#This Row],[Population +15]])*100</f>
        <v>26.049281221810478</v>
      </c>
      <c r="H63">
        <v>121502</v>
      </c>
      <c r="I63">
        <f>Table1[[#This Row],[Unemployed]]+Table1[[#This Row],[Employed]]</f>
        <v>642739</v>
      </c>
      <c r="J63" s="15">
        <f>(Table1[[#This Row],[Unemployed]]/Table1[[#This Row],[Labor Force]])*100</f>
        <v>18.903785206747994</v>
      </c>
      <c r="K63">
        <v>2362</v>
      </c>
      <c r="L63">
        <v>780241</v>
      </c>
      <c r="M63">
        <v>30424</v>
      </c>
      <c r="N63" s="15">
        <f>Table1[[#This Row],[Num of Students]]/Table1[[#This Row],[Num of Schools ]]</f>
        <v>330.33065198983911</v>
      </c>
      <c r="O63" s="15">
        <f>Table1[[#This Row],[Number of Classes]]/Table1[[#This Row],[Num of Schools ]]</f>
        <v>12.880609652836579</v>
      </c>
      <c r="P63" s="15">
        <f>Table1[[#This Row],[Num of Students]]/Table1[[#This Row],[Number of Classes]]</f>
        <v>25.645575861162239</v>
      </c>
      <c r="Q63" s="1">
        <v>867956</v>
      </c>
      <c r="R63" s="15">
        <f>Table1[[#This Row],[Num of Students]]/Table1[[#This Row],[Population 5-19]]*100</f>
        <v>89.894072971440949</v>
      </c>
      <c r="S63" s="15">
        <f>Table1[[#This Row],[Num of Schools ]]/Table1[[#This Row],[Population 5-19]]*1000</f>
        <v>2.7213361045951636</v>
      </c>
      <c r="T63">
        <v>7579</v>
      </c>
      <c r="U63">
        <v>2792183</v>
      </c>
      <c r="V63" s="15">
        <f>Table1[[#This Row],[Total Population]]/Table1[[#This Row],[Area ]]</f>
        <v>368.41047631613668</v>
      </c>
    </row>
    <row r="64" spans="1:22" x14ac:dyDescent="0.25">
      <c r="A64" s="2" t="s">
        <v>7</v>
      </c>
      <c r="B64">
        <v>2019</v>
      </c>
      <c r="C64">
        <v>1652</v>
      </c>
      <c r="D64" s="1">
        <v>96305</v>
      </c>
      <c r="E64" s="15">
        <f>(Table1[[#This Row],[establishments]]/Table1[[#This Row],[Population +15]])*1000</f>
        <v>17.153834172680547</v>
      </c>
      <c r="F64">
        <v>30240</v>
      </c>
      <c r="G64" s="15">
        <f>(Table1[[#This Row],[Employed]]/Table1[[#This Row],[Population +15]])*100</f>
        <v>31.400238824567779</v>
      </c>
      <c r="H64">
        <v>6128</v>
      </c>
      <c r="I64">
        <f>Table1[[#This Row],[Unemployed]]+Table1[[#This Row],[Employed]]</f>
        <v>36368</v>
      </c>
      <c r="J64" s="15">
        <f>(Table1[[#This Row],[Unemployed]]/Table1[[#This Row],[Labor Force]])*100</f>
        <v>16.849978002639684</v>
      </c>
      <c r="K64">
        <v>146</v>
      </c>
      <c r="L64">
        <v>49442</v>
      </c>
      <c r="M64">
        <v>1942</v>
      </c>
      <c r="N64" s="15">
        <f>Table1[[#This Row],[Num of Students]]/Table1[[#This Row],[Num of Schools ]]</f>
        <v>338.64383561643837</v>
      </c>
      <c r="O64" s="15">
        <f>Table1[[#This Row],[Number of Classes]]/Table1[[#This Row],[Num of Schools ]]</f>
        <v>13.301369863013699</v>
      </c>
      <c r="P64" s="15">
        <f>Table1[[#This Row],[Num of Students]]/Table1[[#This Row],[Number of Classes]]</f>
        <v>25.459320288362512</v>
      </c>
      <c r="Q64" s="1">
        <v>52514</v>
      </c>
      <c r="R64" s="15">
        <f>Table1[[#This Row],[Num of Students]]/Table1[[#This Row],[Population 5-19]]*100</f>
        <v>94.150131393533158</v>
      </c>
      <c r="S64" s="15">
        <f>Table1[[#This Row],[Num of Schools ]]/Table1[[#This Row],[Population 5-19]]*1000</f>
        <v>2.7802109913546862</v>
      </c>
      <c r="T64">
        <v>6900</v>
      </c>
      <c r="U64">
        <v>147588</v>
      </c>
      <c r="V64" s="15">
        <f>Table1[[#This Row],[Total Population]]/Table1[[#This Row],[Area ]]</f>
        <v>21.389565217391304</v>
      </c>
    </row>
    <row r="65" spans="1:22" x14ac:dyDescent="0.25">
      <c r="A65" s="2" t="s">
        <v>4</v>
      </c>
      <c r="B65">
        <v>2019</v>
      </c>
      <c r="C65">
        <v>2713</v>
      </c>
      <c r="D65" s="1">
        <v>294996</v>
      </c>
      <c r="E65" s="15">
        <f>(Table1[[#This Row],[establishments]]/Table1[[#This Row],[Population +15]])*1000</f>
        <v>9.1967348709813006</v>
      </c>
      <c r="F65">
        <v>76870</v>
      </c>
      <c r="G65" s="15">
        <f>(Table1[[#This Row],[Employed]]/Table1[[#This Row],[Population +15]])*100</f>
        <v>26.057980447192502</v>
      </c>
      <c r="H65">
        <v>20241</v>
      </c>
      <c r="I65">
        <f>Table1[[#This Row],[Unemployed]]+Table1[[#This Row],[Employed]]</f>
        <v>97111</v>
      </c>
      <c r="J65" s="15">
        <f>(Table1[[#This Row],[Unemployed]]/Table1[[#This Row],[Labor Force]])*100</f>
        <v>20.843158859449495</v>
      </c>
      <c r="K65">
        <v>500</v>
      </c>
      <c r="L65">
        <v>143756</v>
      </c>
      <c r="M65">
        <v>5733</v>
      </c>
      <c r="N65" s="15">
        <f>Table1[[#This Row],[Num of Students]]/Table1[[#This Row],[Num of Schools ]]</f>
        <v>287.512</v>
      </c>
      <c r="O65" s="15">
        <f>Table1[[#This Row],[Number of Classes]]/Table1[[#This Row],[Num of Schools ]]</f>
        <v>11.465999999999999</v>
      </c>
      <c r="P65" s="15">
        <f>Table1[[#This Row],[Num of Students]]/Table1[[#This Row],[Number of Classes]]</f>
        <v>25.075178789464506</v>
      </c>
      <c r="Q65" s="1">
        <v>141941</v>
      </c>
      <c r="R65" s="15">
        <f>Table1[[#This Row],[Num of Students]]/Table1[[#This Row],[Population 5-19]]*100</f>
        <v>101.27870030505632</v>
      </c>
      <c r="S65" s="15">
        <f>Table1[[#This Row],[Num of Schools ]]/Table1[[#This Row],[Population 5-19]]*1000</f>
        <v>3.5225903720559955</v>
      </c>
      <c r="T65">
        <v>1119</v>
      </c>
      <c r="U65">
        <v>433794</v>
      </c>
      <c r="V65" s="15">
        <f>Table1[[#This Row],[Total Population]]/Table1[[#This Row],[Area ]]</f>
        <v>387.66219839142093</v>
      </c>
    </row>
    <row r="66" spans="1:22" x14ac:dyDescent="0.25">
      <c r="A66" s="2" t="s">
        <v>3</v>
      </c>
      <c r="B66">
        <v>2019</v>
      </c>
      <c r="C66">
        <v>5594</v>
      </c>
      <c r="D66" s="1">
        <v>955878</v>
      </c>
      <c r="E66" s="15">
        <f>(Table1[[#This Row],[establishments]]/Table1[[#This Row],[Population +15]])*1000</f>
        <v>5.8522112654543781</v>
      </c>
      <c r="F66">
        <v>283448</v>
      </c>
      <c r="G66" s="15">
        <f>(Table1[[#This Row],[Employed]]/Table1[[#This Row],[Population +15]])*100</f>
        <v>29.653156574374556</v>
      </c>
      <c r="H66">
        <v>64628</v>
      </c>
      <c r="I66">
        <f>Table1[[#This Row],[Unemployed]]+Table1[[#This Row],[Employed]]</f>
        <v>348076</v>
      </c>
      <c r="J66" s="15">
        <f>(Table1[[#This Row],[Unemployed]]/Table1[[#This Row],[Labor Force]])*100</f>
        <v>18.567209460002985</v>
      </c>
      <c r="K66">
        <v>1404</v>
      </c>
      <c r="L66">
        <v>382238</v>
      </c>
      <c r="M66">
        <v>15006</v>
      </c>
      <c r="N66" s="15">
        <f>Table1[[#This Row],[Num of Students]]/Table1[[#This Row],[Num of Schools ]]</f>
        <v>272.24928774928776</v>
      </c>
      <c r="O66" s="15">
        <f>Table1[[#This Row],[Number of Classes]]/Table1[[#This Row],[Num of Schools ]]</f>
        <v>10.688034188034187</v>
      </c>
      <c r="P66" s="15">
        <f>Table1[[#This Row],[Num of Students]]/Table1[[#This Row],[Number of Classes]]</f>
        <v>25.472344395575103</v>
      </c>
      <c r="Q66" s="1">
        <v>484622</v>
      </c>
      <c r="R66" s="15">
        <f>Table1[[#This Row],[Num of Students]]/Table1[[#This Row],[Population 5-19]]*100</f>
        <v>78.873431251573393</v>
      </c>
      <c r="S66" s="15">
        <f>Table1[[#This Row],[Num of Schools ]]/Table1[[#This Row],[Population 5-19]]*1000</f>
        <v>2.8971033093833958</v>
      </c>
      <c r="T66">
        <v>1572</v>
      </c>
      <c r="U66">
        <v>1438885</v>
      </c>
      <c r="V66" s="15">
        <f>Table1[[#This Row],[Total Population]]/Table1[[#This Row],[Area ]]</f>
        <v>915.3212468193384</v>
      </c>
    </row>
    <row r="67" spans="1:22" x14ac:dyDescent="0.25">
      <c r="A67" s="2" t="s">
        <v>10</v>
      </c>
      <c r="B67">
        <v>2019</v>
      </c>
      <c r="C67">
        <v>981</v>
      </c>
      <c r="D67" s="1">
        <v>116566</v>
      </c>
      <c r="E67" s="15">
        <f>(Table1[[#This Row],[establishments]]/Table1[[#This Row],[Population +15]])*1000</f>
        <v>8.4158330902664584</v>
      </c>
      <c r="F67">
        <v>38534</v>
      </c>
      <c r="G67" s="15">
        <f>(Table1[[#This Row],[Employed]]/Table1[[#This Row],[Population +15]])*100</f>
        <v>33.057666901154711</v>
      </c>
      <c r="H67">
        <v>8436</v>
      </c>
      <c r="I67">
        <f>Table1[[#This Row],[Unemployed]]+Table1[[#This Row],[Employed]]</f>
        <v>46970</v>
      </c>
      <c r="J67" s="15">
        <f>(Table1[[#This Row],[Unemployed]]/Table1[[#This Row],[Labor Force]])*100</f>
        <v>17.960400255482224</v>
      </c>
      <c r="K67">
        <v>283</v>
      </c>
      <c r="L67">
        <v>62824</v>
      </c>
      <c r="M67">
        <v>2687</v>
      </c>
      <c r="N67" s="15">
        <f>Table1[[#This Row],[Num of Students]]/Table1[[#This Row],[Num of Schools ]]</f>
        <v>221.99293286219083</v>
      </c>
      <c r="O67" s="15">
        <f>Table1[[#This Row],[Number of Classes]]/Table1[[#This Row],[Num of Schools ]]</f>
        <v>9.4946996466431095</v>
      </c>
      <c r="P67" s="15">
        <f>Table1[[#This Row],[Num of Students]]/Table1[[#This Row],[Number of Classes]]</f>
        <v>23.380721994789727</v>
      </c>
      <c r="Q67" s="1">
        <v>64120</v>
      </c>
      <c r="R67" s="15">
        <f>Table1[[#This Row],[Num of Students]]/Table1[[#This Row],[Population 5-19]]*100</f>
        <v>97.978789769182782</v>
      </c>
      <c r="S67" s="15">
        <f>Table1[[#This Row],[Num of Schools ]]/Table1[[#This Row],[Population 5-19]]*1000</f>
        <v>4.4135995009357458</v>
      </c>
      <c r="T67">
        <v>410</v>
      </c>
      <c r="U67">
        <v>183324</v>
      </c>
      <c r="V67" s="15">
        <f>Table1[[#This Row],[Total Population]]/Table1[[#This Row],[Area ]]</f>
        <v>447.13170731707316</v>
      </c>
    </row>
    <row r="68" spans="1:22" x14ac:dyDescent="0.25">
      <c r="A68" s="2" t="s">
        <v>8</v>
      </c>
      <c r="B68">
        <v>2019</v>
      </c>
      <c r="C68">
        <v>1506</v>
      </c>
      <c r="D68" s="1">
        <v>197917</v>
      </c>
      <c r="E68" s="15">
        <f>(Table1[[#This Row],[establishments]]/Table1[[#This Row],[Population +15]])*1000</f>
        <v>7.6092503423152129</v>
      </c>
      <c r="F68">
        <v>69260</v>
      </c>
      <c r="G68" s="15">
        <f>(Table1[[#This Row],[Employed]]/Table1[[#This Row],[Population +15]])*100</f>
        <v>34.994467377739156</v>
      </c>
      <c r="H68">
        <v>11199</v>
      </c>
      <c r="I68">
        <f>Table1[[#This Row],[Unemployed]]+Table1[[#This Row],[Employed]]</f>
        <v>80459</v>
      </c>
      <c r="J68" s="15">
        <f>(Table1[[#This Row],[Unemployed]]/Table1[[#This Row],[Labor Force]])*100</f>
        <v>13.91889036652208</v>
      </c>
      <c r="K68">
        <v>424</v>
      </c>
      <c r="L68">
        <v>83140</v>
      </c>
      <c r="M68">
        <v>3943</v>
      </c>
      <c r="N68" s="15">
        <f>Table1[[#This Row],[Num of Students]]/Table1[[#This Row],[Num of Schools ]]</f>
        <v>196.08490566037736</v>
      </c>
      <c r="O68" s="15">
        <f>Table1[[#This Row],[Number of Classes]]/Table1[[#This Row],[Num of Schools ]]</f>
        <v>9.2995283018867916</v>
      </c>
      <c r="P68" s="15">
        <f>Table1[[#This Row],[Num of Students]]/Table1[[#This Row],[Number of Classes]]</f>
        <v>21.085467917829064</v>
      </c>
      <c r="Q68" s="1">
        <v>99621</v>
      </c>
      <c r="R68" s="15">
        <f>Table1[[#This Row],[Num of Students]]/Table1[[#This Row],[Population 5-19]]*100</f>
        <v>83.45629937462985</v>
      </c>
      <c r="S68" s="15">
        <f>Table1[[#This Row],[Num of Schools ]]/Table1[[#This Row],[Population 5-19]]*1000</f>
        <v>4.2561307354874973</v>
      </c>
      <c r="T68">
        <v>3495</v>
      </c>
      <c r="U68">
        <v>297748</v>
      </c>
      <c r="V68" s="15">
        <f>Table1[[#This Row],[Total Population]]/Table1[[#This Row],[Area ]]</f>
        <v>85.192560801144495</v>
      </c>
    </row>
    <row r="69" spans="1:22" x14ac:dyDescent="0.25">
      <c r="A69" s="2" t="s">
        <v>14</v>
      </c>
      <c r="B69">
        <v>2019</v>
      </c>
      <c r="C69">
        <v>1097</v>
      </c>
      <c r="D69" s="1">
        <v>94046</v>
      </c>
      <c r="E69" s="15">
        <f>(Table1[[#This Row],[establishments]]/Table1[[#This Row],[Population +15]])*1000</f>
        <v>11.664504604129895</v>
      </c>
      <c r="F69">
        <v>32003</v>
      </c>
      <c r="G69" s="15">
        <f>(Table1[[#This Row],[Employed]]/Table1[[#This Row],[Population +15]])*100</f>
        <v>34.029092146396444</v>
      </c>
      <c r="H69">
        <v>7643</v>
      </c>
      <c r="I69">
        <f>Table1[[#This Row],[Unemployed]]+Table1[[#This Row],[Employed]]</f>
        <v>39646</v>
      </c>
      <c r="J69" s="15">
        <f>(Table1[[#This Row],[Unemployed]]/Table1[[#This Row],[Labor Force]])*100</f>
        <v>19.278111284871109</v>
      </c>
      <c r="K69">
        <v>237</v>
      </c>
      <c r="L69">
        <v>41194</v>
      </c>
      <c r="M69">
        <v>2197</v>
      </c>
      <c r="N69" s="15">
        <f>Table1[[#This Row],[Num of Students]]/Table1[[#This Row],[Num of Schools ]]</f>
        <v>173.81434599156117</v>
      </c>
      <c r="O69" s="15">
        <f>Table1[[#This Row],[Number of Classes]]/Table1[[#This Row],[Num of Schools ]]</f>
        <v>9.2700421940928273</v>
      </c>
      <c r="P69" s="15">
        <f>Table1[[#This Row],[Num of Students]]/Table1[[#This Row],[Number of Classes]]</f>
        <v>18.750113791533909</v>
      </c>
      <c r="Q69" s="1">
        <v>47071</v>
      </c>
      <c r="R69" s="15">
        <f>Table1[[#This Row],[Num of Students]]/Table1[[#This Row],[Population 5-19]]*100</f>
        <v>87.514605595802081</v>
      </c>
      <c r="S69" s="15">
        <f>Table1[[#This Row],[Num of Schools ]]/Table1[[#This Row],[Population 5-19]]*1000</f>
        <v>5.0349472074100827</v>
      </c>
      <c r="T69">
        <v>32832</v>
      </c>
      <c r="U69">
        <v>143276</v>
      </c>
      <c r="V69" s="15">
        <f>Table1[[#This Row],[Total Population]]/Table1[[#This Row],[Area ]]</f>
        <v>4.3639132553606235</v>
      </c>
    </row>
    <row r="70" spans="1:22" x14ac:dyDescent="0.25">
      <c r="A70" s="2" t="s">
        <v>13</v>
      </c>
      <c r="B70">
        <v>2019</v>
      </c>
      <c r="C70">
        <v>1271</v>
      </c>
      <c r="D70" s="1">
        <v>118999</v>
      </c>
      <c r="E70" s="15">
        <f>(Table1[[#This Row],[establishments]]/Table1[[#This Row],[Population +15]])*1000</f>
        <v>10.68076202321028</v>
      </c>
      <c r="F70">
        <v>29576</v>
      </c>
      <c r="G70" s="15">
        <f>(Table1[[#This Row],[Employed]]/Table1[[#This Row],[Population +15]])*100</f>
        <v>24.853990369666974</v>
      </c>
      <c r="H70">
        <v>8754</v>
      </c>
      <c r="I70">
        <f>Table1[[#This Row],[Unemployed]]+Table1[[#This Row],[Employed]]</f>
        <v>38330</v>
      </c>
      <c r="J70" s="15">
        <f>(Table1[[#This Row],[Unemployed]]/Table1[[#This Row],[Labor Force]])*100</f>
        <v>22.838507696321418</v>
      </c>
      <c r="K70">
        <v>235</v>
      </c>
      <c r="L70">
        <v>55752</v>
      </c>
      <c r="M70">
        <v>2498</v>
      </c>
      <c r="N70" s="15">
        <f>Table1[[#This Row],[Num of Students]]/Table1[[#This Row],[Num of Schools ]]</f>
        <v>237.24255319148935</v>
      </c>
      <c r="O70" s="15">
        <f>Table1[[#This Row],[Number of Classes]]/Table1[[#This Row],[Num of Schools ]]</f>
        <v>10.629787234042553</v>
      </c>
      <c r="P70" s="15">
        <f>Table1[[#This Row],[Num of Students]]/Table1[[#This Row],[Number of Classes]]</f>
        <v>22.31865492393915</v>
      </c>
      <c r="Q70" s="1">
        <v>56904</v>
      </c>
      <c r="R70" s="15">
        <f>Table1[[#This Row],[Num of Students]]/Table1[[#This Row],[Population 5-19]]*100</f>
        <v>97.975537747785751</v>
      </c>
      <c r="S70" s="15">
        <f>Table1[[#This Row],[Num of Schools ]]/Table1[[#This Row],[Population 5-19]]*1000</f>
        <v>4.1297624068606771</v>
      </c>
      <c r="T70">
        <v>940</v>
      </c>
      <c r="U70">
        <v>171345</v>
      </c>
      <c r="V70" s="15">
        <f>Table1[[#This Row],[Total Population]]/Table1[[#This Row],[Area ]]</f>
        <v>182.28191489361703</v>
      </c>
    </row>
    <row r="71" spans="1:22" x14ac:dyDescent="0.25">
      <c r="A71" s="2" t="s">
        <v>9</v>
      </c>
      <c r="B71">
        <v>2019</v>
      </c>
      <c r="C71">
        <v>1632</v>
      </c>
      <c r="D71" s="1">
        <v>211292</v>
      </c>
      <c r="E71" s="15">
        <f>(Table1[[#This Row],[establishments]]/Table1[[#This Row],[Population +15]])*1000</f>
        <v>7.7239081460727332</v>
      </c>
      <c r="F71">
        <v>69343</v>
      </c>
      <c r="G71" s="15">
        <f>(Table1[[#This Row],[Employed]]/Table1[[#This Row],[Population +15]])*100</f>
        <v>32.818563883156962</v>
      </c>
      <c r="H71">
        <v>15123</v>
      </c>
      <c r="I71">
        <f>Table1[[#This Row],[Unemployed]]+Table1[[#This Row],[Employed]]</f>
        <v>84466</v>
      </c>
      <c r="J71" s="15">
        <f>(Table1[[#This Row],[Unemployed]]/Table1[[#This Row],[Labor Force]])*100</f>
        <v>17.904245495228849</v>
      </c>
      <c r="K71">
        <v>641</v>
      </c>
      <c r="L71">
        <v>140207</v>
      </c>
      <c r="M71">
        <v>6659</v>
      </c>
      <c r="N71" s="15">
        <f>Table1[[#This Row],[Num of Students]]/Table1[[#This Row],[Num of Schools ]]</f>
        <v>218.73166926677067</v>
      </c>
      <c r="O71" s="15">
        <f>Table1[[#This Row],[Number of Classes]]/Table1[[#This Row],[Num of Schools ]]</f>
        <v>10.388455538221528</v>
      </c>
      <c r="P71" s="15">
        <f>Table1[[#This Row],[Num of Students]]/Table1[[#This Row],[Number of Classes]]</f>
        <v>21.05526355308605</v>
      </c>
      <c r="Q71" s="1">
        <v>124541</v>
      </c>
      <c r="R71" s="15">
        <f>Table1[[#This Row],[Num of Students]]/Table1[[#This Row],[Population 5-19]]*100</f>
        <v>112.57899005146899</v>
      </c>
      <c r="S71" s="15">
        <f>Table1[[#This Row],[Num of Schools ]]/Table1[[#This Row],[Population 5-19]]*1000</f>
        <v>5.1468994146505969</v>
      </c>
      <c r="T71">
        <v>26541</v>
      </c>
      <c r="U71">
        <v>343327</v>
      </c>
      <c r="V71" s="15">
        <f>Table1[[#This Row],[Total Population]]/Table1[[#This Row],[Area ]]</f>
        <v>12.935722090350778</v>
      </c>
    </row>
    <row r="72" spans="1:22" x14ac:dyDescent="0.25">
      <c r="A72" s="2" t="s">
        <v>6</v>
      </c>
      <c r="B72">
        <v>2019</v>
      </c>
      <c r="C72">
        <v>559</v>
      </c>
      <c r="D72" s="1">
        <v>64425</v>
      </c>
      <c r="E72" s="15">
        <f>(Table1[[#This Row],[establishments]]/Table1[[#This Row],[Population +15]])*1000</f>
        <v>8.6767559177337983</v>
      </c>
      <c r="F72">
        <v>23650</v>
      </c>
      <c r="G72" s="15">
        <f>(Table1[[#This Row],[Employed]]/Table1[[#This Row],[Population +15]])*100</f>
        <v>36.709351959642994</v>
      </c>
      <c r="H72">
        <v>6253</v>
      </c>
      <c r="I72">
        <f>Table1[[#This Row],[Unemployed]]+Table1[[#This Row],[Employed]]</f>
        <v>29903</v>
      </c>
      <c r="J72" s="15">
        <f>(Table1[[#This Row],[Unemployed]]/Table1[[#This Row],[Labor Force]])*100</f>
        <v>20.910945390094639</v>
      </c>
      <c r="K72">
        <v>145</v>
      </c>
      <c r="L72">
        <v>29320</v>
      </c>
      <c r="M72">
        <v>1320</v>
      </c>
      <c r="N72" s="15">
        <f>Table1[[#This Row],[Num of Students]]/Table1[[#This Row],[Num of Schools ]]</f>
        <v>202.20689655172413</v>
      </c>
      <c r="O72" s="15">
        <f>Table1[[#This Row],[Number of Classes]]/Table1[[#This Row],[Num of Schools ]]</f>
        <v>9.1034482758620694</v>
      </c>
      <c r="P72" s="15">
        <f>Table1[[#This Row],[Num of Students]]/Table1[[#This Row],[Number of Classes]]</f>
        <v>22.212121212121211</v>
      </c>
      <c r="Q72" s="1">
        <v>33723</v>
      </c>
      <c r="R72" s="15">
        <f>Table1[[#This Row],[Num of Students]]/Table1[[#This Row],[Population 5-19]]*100</f>
        <v>86.943628977255884</v>
      </c>
      <c r="S72" s="15">
        <f>Table1[[#This Row],[Num of Schools ]]/Table1[[#This Row],[Population 5-19]]*1000</f>
        <v>4.2997360851644277</v>
      </c>
      <c r="T72">
        <v>2209</v>
      </c>
      <c r="U72">
        <v>98482</v>
      </c>
      <c r="V72" s="15">
        <f>Table1[[#This Row],[Total Population]]/Table1[[#This Row],[Area ]]</f>
        <v>44.582163875056587</v>
      </c>
    </row>
    <row r="73" spans="1:22" x14ac:dyDescent="0.25">
      <c r="A73" s="2" t="s">
        <v>5</v>
      </c>
      <c r="B73">
        <v>2019</v>
      </c>
      <c r="C73">
        <v>4638</v>
      </c>
      <c r="D73" s="1">
        <v>694845</v>
      </c>
      <c r="E73" s="15">
        <f>(Table1[[#This Row],[establishments]]/Table1[[#This Row],[Population +15]])*1000</f>
        <v>6.6748699350214791</v>
      </c>
      <c r="F73">
        <v>169215</v>
      </c>
      <c r="G73" s="15">
        <f>(Table1[[#This Row],[Employed]]/Table1[[#This Row],[Population +15]])*100</f>
        <v>24.352913239643375</v>
      </c>
      <c r="H73">
        <v>46029</v>
      </c>
      <c r="I73">
        <f>Table1[[#This Row],[Unemployed]]+Table1[[#This Row],[Employed]]</f>
        <v>215244</v>
      </c>
      <c r="J73" s="15">
        <f>(Table1[[#This Row],[Unemployed]]/Table1[[#This Row],[Labor Force]])*100</f>
        <v>21.384568210960584</v>
      </c>
      <c r="K73">
        <v>838</v>
      </c>
      <c r="L73">
        <v>300522</v>
      </c>
      <c r="M73">
        <v>10299</v>
      </c>
      <c r="N73" s="15">
        <f>Table1[[#This Row],[Num of Students]]/Table1[[#This Row],[Num of Schools ]]</f>
        <v>358.61813842482098</v>
      </c>
      <c r="O73" s="15">
        <f>Table1[[#This Row],[Number of Classes]]/Table1[[#This Row],[Num of Schools ]]</f>
        <v>12.289976133651551</v>
      </c>
      <c r="P73" s="15">
        <f>Table1[[#This Row],[Num of Students]]/Table1[[#This Row],[Number of Classes]]</f>
        <v>29.179726187008448</v>
      </c>
      <c r="Q73" s="1">
        <v>337378</v>
      </c>
      <c r="R73" s="15">
        <f>Table1[[#This Row],[Num of Students]]/Table1[[#This Row],[Population 5-19]]*100</f>
        <v>89.075754791361618</v>
      </c>
      <c r="S73" s="15">
        <f>Table1[[#This Row],[Num of Schools ]]/Table1[[#This Row],[Population 5-19]]*1000</f>
        <v>2.4838608326565454</v>
      </c>
      <c r="T73">
        <v>4761</v>
      </c>
      <c r="U73">
        <v>1009413</v>
      </c>
      <c r="V73" s="15">
        <f>Table1[[#This Row],[Total Population]]/Table1[[#This Row],[Area ]]</f>
        <v>212.01701323251419</v>
      </c>
    </row>
    <row r="74" spans="1:22" x14ac:dyDescent="0.25">
      <c r="A74" s="2" t="s">
        <v>11</v>
      </c>
      <c r="B74">
        <v>2020</v>
      </c>
      <c r="C74">
        <v>719</v>
      </c>
      <c r="D74" s="1">
        <v>112095</v>
      </c>
      <c r="E74" s="15">
        <f>(Table1[[#This Row],[establishments]]/Table1[[#This Row],[Population +15]])*1000</f>
        <v>6.4142022391721305</v>
      </c>
      <c r="F74">
        <v>33378</v>
      </c>
      <c r="G74" s="15">
        <f>(Table1[[#This Row],[Employed]]/Table1[[#This Row],[Population +15]])*100</f>
        <v>29.776528837147065</v>
      </c>
      <c r="H74">
        <v>8259</v>
      </c>
      <c r="I74">
        <f>Table1[[#This Row],[Unemployed]]+Table1[[#This Row],[Employed]]</f>
        <v>41637</v>
      </c>
      <c r="J74" s="15">
        <f>(Table1[[#This Row],[Unemployed]]/Table1[[#This Row],[Labor Force]])*100</f>
        <v>19.835723034800779</v>
      </c>
      <c r="K74">
        <v>227</v>
      </c>
      <c r="L74">
        <v>46885</v>
      </c>
      <c r="M74">
        <v>2214</v>
      </c>
      <c r="N74" s="15">
        <f>Table1[[#This Row],[Num of Students]]/Table1[[#This Row],[Num of Schools ]]</f>
        <v>206.54185022026431</v>
      </c>
      <c r="O74" s="15">
        <f>Table1[[#This Row],[Number of Classes]]/Table1[[#This Row],[Num of Schools ]]</f>
        <v>9.7533039647577091</v>
      </c>
      <c r="P74" s="15">
        <f>Table1[[#This Row],[Num of Students]]/Table1[[#This Row],[Number of Classes]]</f>
        <v>21.176603432700993</v>
      </c>
      <c r="Q74" s="1">
        <v>61248</v>
      </c>
      <c r="R74" s="15">
        <f>Table1[[#This Row],[Num of Students]]/Table1[[#This Row],[Population 5-19]]*100</f>
        <v>76.549438349007318</v>
      </c>
      <c r="S74" s="15">
        <f>Table1[[#This Row],[Num of Schools ]]/Table1[[#This Row],[Population 5-19]]*1000</f>
        <v>3.7062434691745034</v>
      </c>
      <c r="T74">
        <v>420</v>
      </c>
      <c r="U74">
        <v>175394</v>
      </c>
      <c r="V74" s="15">
        <f>Table1[[#This Row],[Total Population]]/Table1[[#This Row],[Area ]]</f>
        <v>417.60476190476192</v>
      </c>
    </row>
    <row r="75" spans="1:22" x14ac:dyDescent="0.25">
      <c r="A75" s="2" t="s">
        <v>12</v>
      </c>
      <c r="B75">
        <v>2020</v>
      </c>
      <c r="C75">
        <v>38351</v>
      </c>
      <c r="D75" s="1">
        <v>2072977</v>
      </c>
      <c r="E75" s="15">
        <f>(Table1[[#This Row],[establishments]]/Table1[[#This Row],[Population +15]])*1000</f>
        <v>18.500446459367375</v>
      </c>
      <c r="F75">
        <v>516576</v>
      </c>
      <c r="G75" s="15">
        <f>(Table1[[#This Row],[Employed]]/Table1[[#This Row],[Population +15]])*100</f>
        <v>24.919523950338089</v>
      </c>
      <c r="H75">
        <v>170854</v>
      </c>
      <c r="I75">
        <f>Table1[[#This Row],[Unemployed]]+Table1[[#This Row],[Employed]]</f>
        <v>687430</v>
      </c>
      <c r="J75" s="15">
        <f>(Table1[[#This Row],[Unemployed]]/Table1[[#This Row],[Labor Force]])*100</f>
        <v>24.854021500370944</v>
      </c>
      <c r="K75">
        <v>2407</v>
      </c>
      <c r="L75">
        <v>794981</v>
      </c>
      <c r="M75">
        <v>31229</v>
      </c>
      <c r="N75" s="15">
        <f>Table1[[#This Row],[Num of Students]]/Table1[[#This Row],[Num of Schools ]]</f>
        <v>330.27877025342752</v>
      </c>
      <c r="O75" s="15">
        <f>Table1[[#This Row],[Number of Classes]]/Table1[[#This Row],[Num of Schools ]]</f>
        <v>12.974241794765268</v>
      </c>
      <c r="P75" s="15">
        <f>Table1[[#This Row],[Num of Students]]/Table1[[#This Row],[Number of Classes]]</f>
        <v>25.456498767171539</v>
      </c>
      <c r="Q75" s="1">
        <v>865548</v>
      </c>
      <c r="R75" s="15">
        <f>Table1[[#This Row],[Num of Students]]/Table1[[#This Row],[Population 5-19]]*100</f>
        <v>91.847130372896714</v>
      </c>
      <c r="S75" s="15">
        <f>Table1[[#This Row],[Num of Schools ]]/Table1[[#This Row],[Population 5-19]]*1000</f>
        <v>2.7808971888329705</v>
      </c>
      <c r="T75">
        <v>7579</v>
      </c>
      <c r="U75">
        <v>2854356</v>
      </c>
      <c r="V75" s="15">
        <f>Table1[[#This Row],[Total Population]]/Table1[[#This Row],[Area ]]</f>
        <v>376.61380129304655</v>
      </c>
    </row>
    <row r="76" spans="1:22" x14ac:dyDescent="0.25">
      <c r="A76" s="2" t="s">
        <v>7</v>
      </c>
      <c r="B76">
        <v>2020</v>
      </c>
      <c r="C76">
        <v>1617</v>
      </c>
      <c r="D76" s="1">
        <v>97741</v>
      </c>
      <c r="E76" s="15">
        <f>(Table1[[#This Row],[establishments]]/Table1[[#This Row],[Population +15]])*1000</f>
        <v>16.54372269569577</v>
      </c>
      <c r="F76">
        <v>29066</v>
      </c>
      <c r="G76" s="15">
        <f>(Table1[[#This Row],[Employed]]/Table1[[#This Row],[Population +15]])*100</f>
        <v>29.737776368156659</v>
      </c>
      <c r="H76">
        <v>7696</v>
      </c>
      <c r="I76">
        <f>Table1[[#This Row],[Unemployed]]+Table1[[#This Row],[Employed]]</f>
        <v>36762</v>
      </c>
      <c r="J76" s="15">
        <f>(Table1[[#This Row],[Unemployed]]/Table1[[#This Row],[Labor Force]])*100</f>
        <v>20.934660791034222</v>
      </c>
      <c r="K76">
        <v>151</v>
      </c>
      <c r="L76">
        <v>50378</v>
      </c>
      <c r="M76">
        <v>1979</v>
      </c>
      <c r="N76" s="15">
        <f>Table1[[#This Row],[Num of Students]]/Table1[[#This Row],[Num of Schools ]]</f>
        <v>333.62913907284769</v>
      </c>
      <c r="O76" s="15">
        <f>Table1[[#This Row],[Number of Classes]]/Table1[[#This Row],[Num of Schools ]]</f>
        <v>13.105960264900663</v>
      </c>
      <c r="P76" s="15">
        <f>Table1[[#This Row],[Num of Students]]/Table1[[#This Row],[Number of Classes]]</f>
        <v>25.456291056088933</v>
      </c>
      <c r="Q76" s="1">
        <v>55051</v>
      </c>
      <c r="R76" s="15">
        <f>Table1[[#This Row],[Num of Students]]/Table1[[#This Row],[Population 5-19]]*100</f>
        <v>91.511507511216877</v>
      </c>
      <c r="S76" s="15">
        <f>Table1[[#This Row],[Num of Schools ]]/Table1[[#This Row],[Population 5-19]]*1000</f>
        <v>2.7429111187807673</v>
      </c>
      <c r="T76">
        <v>6900</v>
      </c>
      <c r="U76">
        <v>151794</v>
      </c>
      <c r="V76" s="15">
        <f>Table1[[#This Row],[Total Population]]/Table1[[#This Row],[Area ]]</f>
        <v>21.999130434782607</v>
      </c>
    </row>
    <row r="77" spans="1:22" x14ac:dyDescent="0.25">
      <c r="A77" s="2" t="s">
        <v>4</v>
      </c>
      <c r="B77">
        <v>2020</v>
      </c>
      <c r="C77">
        <v>2969</v>
      </c>
      <c r="D77" s="1">
        <v>300958</v>
      </c>
      <c r="E77" s="15">
        <f>(Table1[[#This Row],[establishments]]/Table1[[#This Row],[Population +15]])*1000</f>
        <v>9.8651639099143402</v>
      </c>
      <c r="F77">
        <v>73174</v>
      </c>
      <c r="G77" s="15">
        <f>(Table1[[#This Row],[Employed]]/Table1[[#This Row],[Population +15]])*100</f>
        <v>24.31369161145409</v>
      </c>
      <c r="H77">
        <v>23344</v>
      </c>
      <c r="I77">
        <f>Table1[[#This Row],[Unemployed]]+Table1[[#This Row],[Employed]]</f>
        <v>96518</v>
      </c>
      <c r="J77" s="15">
        <f>(Table1[[#This Row],[Unemployed]]/Table1[[#This Row],[Labor Force]])*100</f>
        <v>24.186162166642493</v>
      </c>
      <c r="K77">
        <v>488</v>
      </c>
      <c r="L77">
        <v>146435</v>
      </c>
      <c r="M77">
        <v>5701</v>
      </c>
      <c r="N77" s="15">
        <f>Table1[[#This Row],[Num of Students]]/Table1[[#This Row],[Num of Schools ]]</f>
        <v>300.07172131147541</v>
      </c>
      <c r="O77" s="15">
        <f>Table1[[#This Row],[Number of Classes]]/Table1[[#This Row],[Num of Schools ]]</f>
        <v>11.682377049180328</v>
      </c>
      <c r="P77" s="15">
        <f>Table1[[#This Row],[Num of Students]]/Table1[[#This Row],[Number of Classes]]</f>
        <v>25.685844588668655</v>
      </c>
      <c r="Q77" s="1">
        <v>141938</v>
      </c>
      <c r="R77" s="15">
        <f>Table1[[#This Row],[Num of Students]]/Table1[[#This Row],[Population 5-19]]*100</f>
        <v>103.16828474404318</v>
      </c>
      <c r="S77" s="15">
        <f>Table1[[#This Row],[Num of Schools ]]/Table1[[#This Row],[Population 5-19]]*1000</f>
        <v>3.4381208696754921</v>
      </c>
      <c r="T77">
        <v>1119</v>
      </c>
      <c r="U77">
        <v>438345</v>
      </c>
      <c r="V77" s="15">
        <f>Table1[[#This Row],[Total Population]]/Table1[[#This Row],[Area ]]</f>
        <v>391.72922252010721</v>
      </c>
    </row>
    <row r="78" spans="1:22" x14ac:dyDescent="0.25">
      <c r="A78" s="2" t="s">
        <v>3</v>
      </c>
      <c r="B78">
        <v>2020</v>
      </c>
      <c r="C78">
        <v>5985</v>
      </c>
      <c r="D78" s="1">
        <v>977260</v>
      </c>
      <c r="E78" s="15">
        <f>(Table1[[#This Row],[establishments]]/Table1[[#This Row],[Population +15]])*1000</f>
        <v>6.1242658043918707</v>
      </c>
      <c r="F78">
        <v>265170</v>
      </c>
      <c r="G78" s="15">
        <f>(Table1[[#This Row],[Employed]]/Table1[[#This Row],[Population +15]])*100</f>
        <v>27.134027791989851</v>
      </c>
      <c r="H78">
        <v>74446</v>
      </c>
      <c r="I78">
        <f>Table1[[#This Row],[Unemployed]]+Table1[[#This Row],[Employed]]</f>
        <v>339616</v>
      </c>
      <c r="J78" s="15">
        <f>(Table1[[#This Row],[Unemployed]]/Table1[[#This Row],[Labor Force]])*100</f>
        <v>21.920639781400169</v>
      </c>
      <c r="K78">
        <v>1434</v>
      </c>
      <c r="L78">
        <v>389104</v>
      </c>
      <c r="M78">
        <v>15490</v>
      </c>
      <c r="N78" s="15">
        <f>Table1[[#This Row],[Num of Students]]/Table1[[#This Row],[Num of Schools ]]</f>
        <v>271.34170153417017</v>
      </c>
      <c r="O78" s="15">
        <f>Table1[[#This Row],[Number of Classes]]/Table1[[#This Row],[Num of Schools ]]</f>
        <v>10.801952580195257</v>
      </c>
      <c r="P78" s="15">
        <f>Table1[[#This Row],[Num of Students]]/Table1[[#This Row],[Number of Classes]]</f>
        <v>25.11969012265978</v>
      </c>
      <c r="Q78" s="1">
        <v>494337</v>
      </c>
      <c r="R78" s="15">
        <f>Table1[[#This Row],[Num of Students]]/Table1[[#This Row],[Population 5-19]]*100</f>
        <v>78.71229545836141</v>
      </c>
      <c r="S78" s="15">
        <f>Table1[[#This Row],[Num of Schools ]]/Table1[[#This Row],[Population 5-19]]*1000</f>
        <v>2.9008550846891894</v>
      </c>
      <c r="T78">
        <v>1572</v>
      </c>
      <c r="U78">
        <v>1460984</v>
      </c>
      <c r="V78" s="15">
        <f>Table1[[#This Row],[Total Population]]/Table1[[#This Row],[Area ]]</f>
        <v>929.37913486005084</v>
      </c>
    </row>
    <row r="79" spans="1:22" x14ac:dyDescent="0.25">
      <c r="A79" s="2" t="s">
        <v>10</v>
      </c>
      <c r="B79">
        <v>2020</v>
      </c>
      <c r="C79">
        <v>998</v>
      </c>
      <c r="D79" s="1">
        <v>122712</v>
      </c>
      <c r="E79" s="15">
        <f>(Table1[[#This Row],[establishments]]/Table1[[#This Row],[Population +15]])*1000</f>
        <v>8.1328639415868054</v>
      </c>
      <c r="F79">
        <v>37398</v>
      </c>
      <c r="G79" s="15">
        <f>(Table1[[#This Row],[Employed]]/Table1[[#This Row],[Population +15]])*100</f>
        <v>30.476237042832</v>
      </c>
      <c r="H79">
        <v>9985</v>
      </c>
      <c r="I79">
        <f>Table1[[#This Row],[Unemployed]]+Table1[[#This Row],[Employed]]</f>
        <v>47383</v>
      </c>
      <c r="J79" s="15">
        <f>(Table1[[#This Row],[Unemployed]]/Table1[[#This Row],[Labor Force]])*100</f>
        <v>21.072958656058081</v>
      </c>
      <c r="K79">
        <v>280</v>
      </c>
      <c r="L79">
        <v>63694</v>
      </c>
      <c r="M79">
        <v>2745</v>
      </c>
      <c r="N79" s="15">
        <f>Table1[[#This Row],[Num of Students]]/Table1[[#This Row],[Num of Schools ]]</f>
        <v>227.47857142857143</v>
      </c>
      <c r="O79" s="15">
        <f>Table1[[#This Row],[Number of Classes]]/Table1[[#This Row],[Num of Schools ]]</f>
        <v>9.8035714285714288</v>
      </c>
      <c r="P79" s="15">
        <f>Table1[[#This Row],[Num of Students]]/Table1[[#This Row],[Number of Classes]]</f>
        <v>23.203642987249545</v>
      </c>
      <c r="Q79" s="1">
        <v>64200</v>
      </c>
      <c r="R79" s="15">
        <f>Table1[[#This Row],[Num of Students]]/Table1[[#This Row],[Population 5-19]]*100</f>
        <v>99.211838006230536</v>
      </c>
      <c r="S79" s="15">
        <f>Table1[[#This Row],[Num of Schools ]]/Table1[[#This Row],[Population 5-19]]*1000</f>
        <v>4.361370716510903</v>
      </c>
      <c r="T79">
        <v>410</v>
      </c>
      <c r="U79">
        <v>190925</v>
      </c>
      <c r="V79" s="15">
        <f>Table1[[#This Row],[Total Population]]/Table1[[#This Row],[Area ]]</f>
        <v>465.67073170731709</v>
      </c>
    </row>
    <row r="80" spans="1:22" x14ac:dyDescent="0.25">
      <c r="A80" s="2" t="s">
        <v>8</v>
      </c>
      <c r="B80">
        <v>2020</v>
      </c>
      <c r="C80">
        <v>1484</v>
      </c>
      <c r="D80" s="1">
        <v>208303</v>
      </c>
      <c r="E80" s="15">
        <f>(Table1[[#This Row],[establishments]]/Table1[[#This Row],[Population +15]])*1000</f>
        <v>7.1242372889492707</v>
      </c>
      <c r="F80">
        <v>66455</v>
      </c>
      <c r="G80" s="15">
        <f>(Table1[[#This Row],[Employed]]/Table1[[#This Row],[Population +15]])*100</f>
        <v>31.903045083364141</v>
      </c>
      <c r="H80">
        <v>13121</v>
      </c>
      <c r="I80">
        <f>Table1[[#This Row],[Unemployed]]+Table1[[#This Row],[Employed]]</f>
        <v>79576</v>
      </c>
      <c r="J80" s="15">
        <f>(Table1[[#This Row],[Unemployed]]/Table1[[#This Row],[Labor Force]])*100</f>
        <v>16.488639790891728</v>
      </c>
      <c r="K80">
        <v>424</v>
      </c>
      <c r="L80">
        <v>85042</v>
      </c>
      <c r="M80">
        <v>4022</v>
      </c>
      <c r="N80" s="15">
        <f>Table1[[#This Row],[Num of Students]]/Table1[[#This Row],[Num of Schools ]]</f>
        <v>200.57075471698113</v>
      </c>
      <c r="O80" s="15">
        <f>Table1[[#This Row],[Number of Classes]]/Table1[[#This Row],[Num of Schools ]]</f>
        <v>9.4858490566037741</v>
      </c>
      <c r="P80" s="15">
        <f>Table1[[#This Row],[Num of Students]]/Table1[[#This Row],[Number of Classes]]</f>
        <v>21.144206862257583</v>
      </c>
      <c r="Q80" s="1">
        <v>98130</v>
      </c>
      <c r="R80" s="15">
        <f>Table1[[#This Row],[Num of Students]]/Table1[[#This Row],[Population 5-19]]*100</f>
        <v>86.662590441251396</v>
      </c>
      <c r="S80" s="15">
        <f>Table1[[#This Row],[Num of Schools ]]/Table1[[#This Row],[Population 5-19]]*1000</f>
        <v>4.3207989401813922</v>
      </c>
      <c r="T80">
        <v>3495</v>
      </c>
      <c r="U80">
        <v>305200</v>
      </c>
      <c r="V80" s="15">
        <f>Table1[[#This Row],[Total Population]]/Table1[[#This Row],[Area ]]</f>
        <v>87.324749642346205</v>
      </c>
    </row>
    <row r="81" spans="1:22" x14ac:dyDescent="0.25">
      <c r="A81" s="2" t="s">
        <v>14</v>
      </c>
      <c r="B81">
        <v>2020</v>
      </c>
      <c r="C81">
        <v>1039</v>
      </c>
      <c r="D81" s="1">
        <v>95016</v>
      </c>
      <c r="E81" s="15">
        <f>(Table1[[#This Row],[establishments]]/Table1[[#This Row],[Population +15]])*1000</f>
        <v>10.935000420981728</v>
      </c>
      <c r="F81">
        <v>29585</v>
      </c>
      <c r="G81" s="15">
        <f>(Table1[[#This Row],[Employed]]/Table1[[#This Row],[Population +15]])*100</f>
        <v>31.136861160225649</v>
      </c>
      <c r="H81">
        <v>9617</v>
      </c>
      <c r="I81">
        <f>Table1[[#This Row],[Unemployed]]+Table1[[#This Row],[Employed]]</f>
        <v>39202</v>
      </c>
      <c r="J81" s="15">
        <f>(Table1[[#This Row],[Unemployed]]/Table1[[#This Row],[Labor Force]])*100</f>
        <v>24.531911637161368</v>
      </c>
      <c r="K81">
        <v>232</v>
      </c>
      <c r="L81">
        <v>41742</v>
      </c>
      <c r="M81">
        <v>2205</v>
      </c>
      <c r="N81" s="15">
        <f>Table1[[#This Row],[Num of Students]]/Table1[[#This Row],[Num of Schools ]]</f>
        <v>179.92241379310346</v>
      </c>
      <c r="O81" s="15">
        <f>Table1[[#This Row],[Number of Classes]]/Table1[[#This Row],[Num of Schools ]]</f>
        <v>9.5043103448275854</v>
      </c>
      <c r="P81" s="15">
        <f>Table1[[#This Row],[Num of Students]]/Table1[[#This Row],[Number of Classes]]</f>
        <v>18.930612244897958</v>
      </c>
      <c r="Q81" s="1">
        <v>46256</v>
      </c>
      <c r="R81" s="15">
        <f>Table1[[#This Row],[Num of Students]]/Table1[[#This Row],[Population 5-19]]*100</f>
        <v>90.241265997924586</v>
      </c>
      <c r="S81" s="15">
        <f>Table1[[#This Row],[Num of Schools ]]/Table1[[#This Row],[Population 5-19]]*1000</f>
        <v>5.0155655482531998</v>
      </c>
      <c r="T81">
        <v>32832</v>
      </c>
      <c r="U81">
        <v>141989</v>
      </c>
      <c r="V81" s="15">
        <f>Table1[[#This Row],[Total Population]]/Table1[[#This Row],[Area ]]</f>
        <v>4.3247136939571149</v>
      </c>
    </row>
    <row r="82" spans="1:22" x14ac:dyDescent="0.25">
      <c r="A82" s="2" t="s">
        <v>13</v>
      </c>
      <c r="B82">
        <v>2020</v>
      </c>
      <c r="C82">
        <v>1308</v>
      </c>
      <c r="D82" s="1">
        <v>124577</v>
      </c>
      <c r="E82" s="15">
        <f>(Table1[[#This Row],[establishments]]/Table1[[#This Row],[Population +15]])*1000</f>
        <v>10.499530410910522</v>
      </c>
      <c r="F82">
        <v>29685</v>
      </c>
      <c r="G82" s="15">
        <f>(Table1[[#This Row],[Employed]]/Table1[[#This Row],[Population +15]])*100</f>
        <v>23.828636104577892</v>
      </c>
      <c r="H82">
        <v>9044</v>
      </c>
      <c r="I82">
        <f>Table1[[#This Row],[Unemployed]]+Table1[[#This Row],[Employed]]</f>
        <v>38729</v>
      </c>
      <c r="J82" s="15">
        <f>(Table1[[#This Row],[Unemployed]]/Table1[[#This Row],[Labor Force]])*100</f>
        <v>23.352010121614295</v>
      </c>
      <c r="K82">
        <v>243</v>
      </c>
      <c r="L82">
        <v>5710</v>
      </c>
      <c r="M82">
        <v>2573</v>
      </c>
      <c r="N82" s="15">
        <f>Table1[[#This Row],[Num of Students]]/Table1[[#This Row],[Num of Schools ]]</f>
        <v>23.497942386831276</v>
      </c>
      <c r="O82" s="15">
        <f>Table1[[#This Row],[Number of Classes]]/Table1[[#This Row],[Num of Schools ]]</f>
        <v>10.588477366255145</v>
      </c>
      <c r="P82" s="15">
        <f>Table1[[#This Row],[Num of Students]]/Table1[[#This Row],[Number of Classes]]</f>
        <v>2.2191993781577923</v>
      </c>
      <c r="Q82" s="1">
        <v>56674</v>
      </c>
      <c r="R82" s="15">
        <f>Table1[[#This Row],[Num of Students]]/Table1[[#This Row],[Population 5-19]]*100</f>
        <v>10.07516674312736</v>
      </c>
      <c r="S82" s="15">
        <f>Table1[[#This Row],[Num of Schools ]]/Table1[[#This Row],[Population 5-19]]*1000</f>
        <v>4.2876804178282812</v>
      </c>
      <c r="T82">
        <v>940</v>
      </c>
      <c r="U82">
        <v>175434</v>
      </c>
      <c r="V82" s="15">
        <f>Table1[[#This Row],[Total Population]]/Table1[[#This Row],[Area ]]</f>
        <v>186.63191489361702</v>
      </c>
    </row>
    <row r="83" spans="1:22" x14ac:dyDescent="0.25">
      <c r="A83" s="2" t="s">
        <v>9</v>
      </c>
      <c r="B83">
        <v>2020</v>
      </c>
      <c r="C83">
        <v>1598</v>
      </c>
      <c r="D83" s="1">
        <v>224262</v>
      </c>
      <c r="E83" s="15">
        <f>(Table1[[#This Row],[establishments]]/Table1[[#This Row],[Population +15]])*1000</f>
        <v>7.1255941711034412</v>
      </c>
      <c r="F83">
        <v>66546</v>
      </c>
      <c r="G83" s="15">
        <f>(Table1[[#This Row],[Employed]]/Table1[[#This Row],[Population +15]])*100</f>
        <v>29.673328517537524</v>
      </c>
      <c r="H83">
        <v>18625</v>
      </c>
      <c r="I83">
        <f>Table1[[#This Row],[Unemployed]]+Table1[[#This Row],[Employed]]</f>
        <v>85171</v>
      </c>
      <c r="J83" s="15">
        <f>(Table1[[#This Row],[Unemployed]]/Table1[[#This Row],[Labor Force]])*100</f>
        <v>21.867771894189335</v>
      </c>
      <c r="K83">
        <v>658</v>
      </c>
      <c r="L83">
        <v>143714</v>
      </c>
      <c r="M83">
        <v>6878</v>
      </c>
      <c r="N83" s="15">
        <f>Table1[[#This Row],[Num of Students]]/Table1[[#This Row],[Num of Schools ]]</f>
        <v>218.41033434650456</v>
      </c>
      <c r="O83" s="15">
        <f>Table1[[#This Row],[Number of Classes]]/Table1[[#This Row],[Num of Schools ]]</f>
        <v>10.45288753799392</v>
      </c>
      <c r="P83" s="15">
        <f>Table1[[#This Row],[Num of Students]]/Table1[[#This Row],[Number of Classes]]</f>
        <v>20.894736842105264</v>
      </c>
      <c r="Q83" s="1">
        <v>129050</v>
      </c>
      <c r="R83" s="15">
        <f>Table1[[#This Row],[Num of Students]]/Table1[[#This Row],[Population 5-19]]*100</f>
        <v>111.36303758233244</v>
      </c>
      <c r="S83" s="15">
        <f>Table1[[#This Row],[Num of Schools ]]/Table1[[#This Row],[Population 5-19]]*1000</f>
        <v>5.0987989151491675</v>
      </c>
      <c r="T83">
        <v>26541</v>
      </c>
      <c r="U83">
        <v>354430</v>
      </c>
      <c r="V83" s="15">
        <f>Table1[[#This Row],[Total Population]]/Table1[[#This Row],[Area ]]</f>
        <v>13.354055988847444</v>
      </c>
    </row>
    <row r="84" spans="1:22" x14ac:dyDescent="0.25">
      <c r="A84" s="2" t="s">
        <v>6</v>
      </c>
      <c r="B84">
        <v>2020</v>
      </c>
      <c r="C84">
        <v>561</v>
      </c>
      <c r="D84" s="1">
        <v>73452</v>
      </c>
      <c r="E84" s="15">
        <f>(Table1[[#This Row],[establishments]]/Table1[[#This Row],[Population +15]])*1000</f>
        <v>7.6376409083483088</v>
      </c>
      <c r="F84">
        <v>23089</v>
      </c>
      <c r="G84" s="15">
        <f>(Table1[[#This Row],[Employed]]/Table1[[#This Row],[Population +15]])*100</f>
        <v>31.434133856123726</v>
      </c>
      <c r="H84">
        <v>8346</v>
      </c>
      <c r="I84">
        <f>Table1[[#This Row],[Unemployed]]+Table1[[#This Row],[Employed]]</f>
        <v>31435</v>
      </c>
      <c r="J84" s="15">
        <f>(Table1[[#This Row],[Unemployed]]/Table1[[#This Row],[Labor Force]])*100</f>
        <v>26.550023858756163</v>
      </c>
      <c r="K84">
        <v>150</v>
      </c>
      <c r="L84">
        <v>30053</v>
      </c>
      <c r="M84">
        <v>1362</v>
      </c>
      <c r="N84" s="15">
        <f>Table1[[#This Row],[Num of Students]]/Table1[[#This Row],[Num of Schools ]]</f>
        <v>200.35333333333332</v>
      </c>
      <c r="O84" s="15">
        <f>Table1[[#This Row],[Number of Classes]]/Table1[[#This Row],[Num of Schools ]]</f>
        <v>9.08</v>
      </c>
      <c r="P84" s="15">
        <f>Table1[[#This Row],[Num of Students]]/Table1[[#This Row],[Number of Classes]]</f>
        <v>22.065345080763581</v>
      </c>
      <c r="Q84" s="1">
        <v>38924</v>
      </c>
      <c r="R84" s="15">
        <f>Table1[[#This Row],[Num of Students]]/Table1[[#This Row],[Population 5-19]]*100</f>
        <v>77.209433768369124</v>
      </c>
      <c r="S84" s="15">
        <f>Table1[[#This Row],[Num of Schools ]]/Table1[[#This Row],[Population 5-19]]*1000</f>
        <v>3.8536635494810398</v>
      </c>
      <c r="T84">
        <v>2209</v>
      </c>
      <c r="U84">
        <v>112729</v>
      </c>
      <c r="V84" s="15">
        <f>Table1[[#This Row],[Total Population]]/Table1[[#This Row],[Area ]]</f>
        <v>51.031688546853779</v>
      </c>
    </row>
    <row r="85" spans="1:22" x14ac:dyDescent="0.25">
      <c r="A85" s="2" t="s">
        <v>5</v>
      </c>
      <c r="B85">
        <v>2020</v>
      </c>
      <c r="C85">
        <v>5192</v>
      </c>
      <c r="D85" s="1">
        <v>709698</v>
      </c>
      <c r="E85" s="15">
        <f>(Table1[[#This Row],[establishments]]/Table1[[#This Row],[Population +15]])*1000</f>
        <v>7.3157878421525773</v>
      </c>
      <c r="F85">
        <v>168187</v>
      </c>
      <c r="G85" s="15">
        <f>(Table1[[#This Row],[Employed]]/Table1[[#This Row],[Population +15]])*100</f>
        <v>23.69839001941671</v>
      </c>
      <c r="H85">
        <v>50769</v>
      </c>
      <c r="I85">
        <f>Table1[[#This Row],[Unemployed]]+Table1[[#This Row],[Employed]]</f>
        <v>218956</v>
      </c>
      <c r="J85" s="15">
        <f>(Table1[[#This Row],[Unemployed]]/Table1[[#This Row],[Labor Force]])*100</f>
        <v>23.186850326092916</v>
      </c>
      <c r="K85">
        <v>857</v>
      </c>
      <c r="L85">
        <v>302539</v>
      </c>
      <c r="M85">
        <v>10623</v>
      </c>
      <c r="N85" s="15">
        <f>Table1[[#This Row],[Num of Students]]/Table1[[#This Row],[Num of Schools ]]</f>
        <v>353.02100350058345</v>
      </c>
      <c r="O85" s="15">
        <f>Table1[[#This Row],[Number of Classes]]/Table1[[#This Row],[Num of Schools ]]</f>
        <v>12.395565927654609</v>
      </c>
      <c r="P85" s="15">
        <f>Table1[[#This Row],[Num of Students]]/Table1[[#This Row],[Number of Classes]]</f>
        <v>28.479619693118703</v>
      </c>
      <c r="Q85" s="1">
        <v>341408</v>
      </c>
      <c r="R85" s="15">
        <f>Table1[[#This Row],[Num of Students]]/Table1[[#This Row],[Population 5-19]]*100</f>
        <v>88.615088105726869</v>
      </c>
      <c r="S85" s="15">
        <f>Table1[[#This Row],[Num of Schools ]]/Table1[[#This Row],[Population 5-19]]*1000</f>
        <v>2.5101930827631458</v>
      </c>
      <c r="T85">
        <v>4761</v>
      </c>
      <c r="U85">
        <v>1029621</v>
      </c>
      <c r="V85" s="15">
        <f>Table1[[#This Row],[Total Population]]/Table1[[#This Row],[Area ]]</f>
        <v>216.26149968494013</v>
      </c>
    </row>
    <row r="86" spans="1:22" x14ac:dyDescent="0.25">
      <c r="A86" s="2" t="s">
        <v>11</v>
      </c>
      <c r="B86">
        <v>2021</v>
      </c>
      <c r="C86">
        <v>796</v>
      </c>
      <c r="D86" s="1">
        <v>116919</v>
      </c>
      <c r="E86" s="15">
        <f>(Table1[[#This Row],[establishments]]/Table1[[#This Row],[Population +15]])*1000</f>
        <v>6.808132125659645</v>
      </c>
      <c r="F86">
        <v>33442</v>
      </c>
      <c r="G86" s="15">
        <f>(Table1[[#This Row],[Employed]]/Table1[[#This Row],[Population +15]])*100</f>
        <v>28.602707857576615</v>
      </c>
      <c r="H86">
        <v>9581</v>
      </c>
      <c r="I86">
        <f>Table1[[#This Row],[Unemployed]]+Table1[[#This Row],[Employed]]</f>
        <v>43023</v>
      </c>
      <c r="J86" s="15">
        <f>(Table1[[#This Row],[Unemployed]]/Table1[[#This Row],[Labor Force]])*100</f>
        <v>22.269483764498059</v>
      </c>
      <c r="K86">
        <v>219</v>
      </c>
      <c r="L86">
        <v>48277</v>
      </c>
      <c r="M86">
        <v>2240</v>
      </c>
      <c r="N86" s="15">
        <f>Table1[[#This Row],[Num of Students]]/Table1[[#This Row],[Num of Schools ]]</f>
        <v>220.44292237442923</v>
      </c>
      <c r="O86" s="15">
        <f>Table1[[#This Row],[Number of Classes]]/Table1[[#This Row],[Num of Schools ]]</f>
        <v>10.228310502283104</v>
      </c>
      <c r="P86" s="15">
        <f>Table1[[#This Row],[Num of Students]]/Table1[[#This Row],[Number of Classes]]</f>
        <v>21.552232142857143</v>
      </c>
      <c r="Q86" s="1">
        <v>60719</v>
      </c>
      <c r="R86" s="15">
        <f>Table1[[#This Row],[Num of Students]]/Table1[[#This Row],[Population 5-19]]*100</f>
        <v>79.508885192443884</v>
      </c>
      <c r="S86" s="15">
        <f>Table1[[#This Row],[Num of Schools ]]/Table1[[#This Row],[Population 5-19]]*1000</f>
        <v>3.6067787677662673</v>
      </c>
      <c r="T86">
        <v>420</v>
      </c>
      <c r="U86">
        <v>179625</v>
      </c>
      <c r="V86" s="15">
        <f>Table1[[#This Row],[Total Population]]/Table1[[#This Row],[Area ]]</f>
        <v>427.67857142857144</v>
      </c>
    </row>
    <row r="87" spans="1:22" x14ac:dyDescent="0.25">
      <c r="A87" s="2" t="s">
        <v>12</v>
      </c>
      <c r="B87">
        <v>2021</v>
      </c>
      <c r="C87">
        <v>39257</v>
      </c>
      <c r="D87" s="1">
        <v>2147126</v>
      </c>
      <c r="E87" s="15">
        <f>(Table1[[#This Row],[establishments]]/Table1[[#This Row],[Population +15]])*1000</f>
        <v>18.283510143326474</v>
      </c>
      <c r="F87">
        <v>548806</v>
      </c>
      <c r="G87" s="15">
        <f>(Table1[[#This Row],[Employed]]/Table1[[#This Row],[Population +15]])*100</f>
        <v>25.560027683517411</v>
      </c>
      <c r="H87">
        <v>173656</v>
      </c>
      <c r="I87">
        <f>Table1[[#This Row],[Unemployed]]+Table1[[#This Row],[Employed]]</f>
        <v>722462</v>
      </c>
      <c r="J87" s="15">
        <f>(Table1[[#This Row],[Unemployed]]/Table1[[#This Row],[Labor Force]])*100</f>
        <v>24.036696739759321</v>
      </c>
      <c r="K87">
        <v>2262</v>
      </c>
      <c r="L87">
        <v>794244</v>
      </c>
      <c r="M87">
        <v>30600</v>
      </c>
      <c r="N87" s="15">
        <f>Table1[[#This Row],[Num of Students]]/Table1[[#This Row],[Num of Schools ]]</f>
        <v>351.12466843501329</v>
      </c>
      <c r="O87" s="15">
        <f>Table1[[#This Row],[Number of Classes]]/Table1[[#This Row],[Num of Schools ]]</f>
        <v>13.527851458885941</v>
      </c>
      <c r="P87" s="15">
        <f>Table1[[#This Row],[Num of Students]]/Table1[[#This Row],[Number of Classes]]</f>
        <v>25.955686274509805</v>
      </c>
      <c r="Q87" s="1">
        <v>876735</v>
      </c>
      <c r="R87" s="15">
        <f>Table1[[#This Row],[Num of Students]]/Table1[[#This Row],[Population 5-19]]*100</f>
        <v>90.591113620421226</v>
      </c>
      <c r="S87" s="15">
        <f>Table1[[#This Row],[Num of Schools ]]/Table1[[#This Row],[Population 5-19]]*1000</f>
        <v>2.5800270321134664</v>
      </c>
      <c r="T87">
        <v>7579</v>
      </c>
      <c r="U87">
        <v>2920242</v>
      </c>
      <c r="V87" s="15">
        <f>Table1[[#This Row],[Total Population]]/Table1[[#This Row],[Area ]]</f>
        <v>385.30703259005145</v>
      </c>
    </row>
    <row r="88" spans="1:22" x14ac:dyDescent="0.25">
      <c r="A88" s="2" t="s">
        <v>7</v>
      </c>
      <c r="B88">
        <v>2021</v>
      </c>
      <c r="C88">
        <v>1616</v>
      </c>
      <c r="D88" s="1">
        <v>101799</v>
      </c>
      <c r="E88" s="15">
        <f>(Table1[[#This Row],[establishments]]/Table1[[#This Row],[Population +15]])*1000</f>
        <v>15.874419198616881</v>
      </c>
      <c r="F88">
        <v>27812</v>
      </c>
      <c r="G88" s="15">
        <f>(Table1[[#This Row],[Employed]]/Table1[[#This Row],[Population +15]])*100</f>
        <v>27.320504130688906</v>
      </c>
      <c r="H88">
        <v>8487</v>
      </c>
      <c r="I88">
        <f>Table1[[#This Row],[Unemployed]]+Table1[[#This Row],[Employed]]</f>
        <v>36299</v>
      </c>
      <c r="J88" s="15">
        <f>(Table1[[#This Row],[Unemployed]]/Table1[[#This Row],[Labor Force]])*100</f>
        <v>23.380809388688395</v>
      </c>
      <c r="K88">
        <v>146</v>
      </c>
      <c r="L88">
        <v>51472</v>
      </c>
      <c r="M88">
        <v>2057</v>
      </c>
      <c r="N88" s="15">
        <f>Table1[[#This Row],[Num of Students]]/Table1[[#This Row],[Num of Schools ]]</f>
        <v>352.54794520547944</v>
      </c>
      <c r="O88" s="15">
        <f>Table1[[#This Row],[Number of Classes]]/Table1[[#This Row],[Num of Schools ]]</f>
        <v>14.08904109589041</v>
      </c>
      <c r="P88" s="15">
        <f>Table1[[#This Row],[Num of Students]]/Table1[[#This Row],[Number of Classes]]</f>
        <v>25.022848808945067</v>
      </c>
      <c r="Q88" s="1">
        <v>55784</v>
      </c>
      <c r="R88" s="15">
        <f>Table1[[#This Row],[Num of Students]]/Table1[[#This Row],[Population 5-19]]*100</f>
        <v>92.270184999282947</v>
      </c>
      <c r="S88" s="15">
        <f>Table1[[#This Row],[Num of Schools ]]/Table1[[#This Row],[Population 5-19]]*1000</f>
        <v>2.6172379176824894</v>
      </c>
      <c r="T88">
        <v>6900</v>
      </c>
      <c r="U88">
        <v>154373</v>
      </c>
      <c r="V88" s="15">
        <f>Table1[[#This Row],[Total Population]]/Table1[[#This Row],[Area ]]</f>
        <v>22.372898550724639</v>
      </c>
    </row>
    <row r="89" spans="1:22" x14ac:dyDescent="0.25">
      <c r="A89" s="2" t="s">
        <v>4</v>
      </c>
      <c r="B89">
        <v>2021</v>
      </c>
      <c r="C89">
        <v>3563</v>
      </c>
      <c r="D89" s="1">
        <v>316807</v>
      </c>
      <c r="E89" s="15">
        <f>(Table1[[#This Row],[establishments]]/Table1[[#This Row],[Population +15]])*1000</f>
        <v>11.246594930036268</v>
      </c>
      <c r="F89">
        <v>79112</v>
      </c>
      <c r="G89" s="15">
        <f>(Table1[[#This Row],[Employed]]/Table1[[#This Row],[Population +15]])*100</f>
        <v>24.971670449200932</v>
      </c>
      <c r="H89">
        <v>27973</v>
      </c>
      <c r="I89">
        <f>Table1[[#This Row],[Unemployed]]+Table1[[#This Row],[Employed]]</f>
        <v>107085</v>
      </c>
      <c r="J89" s="15">
        <f>(Table1[[#This Row],[Unemployed]]/Table1[[#This Row],[Labor Force]])*100</f>
        <v>26.122239342578325</v>
      </c>
      <c r="K89">
        <v>452</v>
      </c>
      <c r="L89">
        <v>146658</v>
      </c>
      <c r="M89">
        <v>5637</v>
      </c>
      <c r="N89" s="15">
        <f>Table1[[#This Row],[Num of Students]]/Table1[[#This Row],[Num of Schools ]]</f>
        <v>324.4646017699115</v>
      </c>
      <c r="O89" s="15">
        <f>Table1[[#This Row],[Number of Classes]]/Table1[[#This Row],[Num of Schools ]]</f>
        <v>12.471238938053098</v>
      </c>
      <c r="P89" s="15">
        <f>Table1[[#This Row],[Num of Students]]/Table1[[#This Row],[Number of Classes]]</f>
        <v>26.017030335284726</v>
      </c>
      <c r="Q89" s="1">
        <v>146426</v>
      </c>
      <c r="R89" s="15">
        <f>Table1[[#This Row],[Num of Students]]/Table1[[#This Row],[Population 5-19]]*100</f>
        <v>100.15844180678295</v>
      </c>
      <c r="S89" s="15">
        <f>Table1[[#This Row],[Num of Schools ]]/Table1[[#This Row],[Population 5-19]]*1000</f>
        <v>3.0868834769781324</v>
      </c>
      <c r="T89">
        <v>1119</v>
      </c>
      <c r="U89">
        <v>453677</v>
      </c>
      <c r="V89" s="15">
        <f>Table1[[#This Row],[Total Population]]/Table1[[#This Row],[Area ]]</f>
        <v>405.43074173369081</v>
      </c>
    </row>
    <row r="90" spans="1:22" x14ac:dyDescent="0.25">
      <c r="A90" s="2" t="s">
        <v>3</v>
      </c>
      <c r="B90">
        <v>2021</v>
      </c>
      <c r="C90">
        <v>6564</v>
      </c>
      <c r="D90" s="1">
        <v>1023797</v>
      </c>
      <c r="E90" s="15">
        <f>(Table1[[#This Row],[establishments]]/Table1[[#This Row],[Population +15]])*1000</f>
        <v>6.4114272653660835</v>
      </c>
      <c r="F90">
        <v>263769</v>
      </c>
      <c r="G90" s="15">
        <f>(Table1[[#This Row],[Employed]]/Table1[[#This Row],[Population +15]])*100</f>
        <v>25.763798878097905</v>
      </c>
      <c r="H90">
        <v>88619</v>
      </c>
      <c r="I90">
        <f>Table1[[#This Row],[Unemployed]]+Table1[[#This Row],[Employed]]</f>
        <v>352388</v>
      </c>
      <c r="J90" s="15">
        <f>(Table1[[#This Row],[Unemployed]]/Table1[[#This Row],[Labor Force]])*100</f>
        <v>25.148132172491682</v>
      </c>
      <c r="K90">
        <v>1372</v>
      </c>
      <c r="L90">
        <v>396886</v>
      </c>
      <c r="M90">
        <v>15300</v>
      </c>
      <c r="N90" s="15">
        <f>Table1[[#This Row],[Num of Students]]/Table1[[#This Row],[Num of Schools ]]</f>
        <v>289.27551020408163</v>
      </c>
      <c r="O90" s="15">
        <f>Table1[[#This Row],[Number of Classes]]/Table1[[#This Row],[Num of Schools ]]</f>
        <v>11.151603498542274</v>
      </c>
      <c r="P90" s="15">
        <f>Table1[[#This Row],[Num of Students]]/Table1[[#This Row],[Number of Classes]]</f>
        <v>25.940261437908497</v>
      </c>
      <c r="Q90" s="1">
        <v>517215</v>
      </c>
      <c r="R90" s="15">
        <f>Table1[[#This Row],[Num of Students]]/Table1[[#This Row],[Population 5-19]]*100</f>
        <v>76.735206828881601</v>
      </c>
      <c r="S90" s="15">
        <f>Table1[[#This Row],[Num of Schools ]]/Table1[[#This Row],[Population 5-19]]*1000</f>
        <v>2.6526686194329248</v>
      </c>
      <c r="T90">
        <v>1572</v>
      </c>
      <c r="U90">
        <v>1504892</v>
      </c>
      <c r="V90" s="15">
        <f>Table1[[#This Row],[Total Population]]/Table1[[#This Row],[Area ]]</f>
        <v>957.31043256997452</v>
      </c>
    </row>
    <row r="91" spans="1:22" x14ac:dyDescent="0.25">
      <c r="A91" s="2" t="s">
        <v>10</v>
      </c>
      <c r="B91">
        <v>2021</v>
      </c>
      <c r="C91">
        <v>1057</v>
      </c>
      <c r="D91" s="1">
        <v>126123</v>
      </c>
      <c r="E91" s="15">
        <f>(Table1[[#This Row],[establishments]]/Table1[[#This Row],[Population +15]])*1000</f>
        <v>8.380707721827104</v>
      </c>
      <c r="F91">
        <v>35345</v>
      </c>
      <c r="G91" s="15">
        <f>(Table1[[#This Row],[Employed]]/Table1[[#This Row],[Population +15]])*100</f>
        <v>28.024230314851373</v>
      </c>
      <c r="H91">
        <v>11975</v>
      </c>
      <c r="I91">
        <f>Table1[[#This Row],[Unemployed]]+Table1[[#This Row],[Employed]]</f>
        <v>47320</v>
      </c>
      <c r="J91" s="15">
        <f>(Table1[[#This Row],[Unemployed]]/Table1[[#This Row],[Labor Force]])*100</f>
        <v>25.306424344885887</v>
      </c>
      <c r="K91">
        <v>271</v>
      </c>
      <c r="L91">
        <v>64968</v>
      </c>
      <c r="M91">
        <v>2670</v>
      </c>
      <c r="N91" s="15">
        <f>Table1[[#This Row],[Num of Students]]/Table1[[#This Row],[Num of Schools ]]</f>
        <v>239.73431734317344</v>
      </c>
      <c r="O91" s="15">
        <f>Table1[[#This Row],[Number of Classes]]/Table1[[#This Row],[Num of Schools ]]</f>
        <v>9.8523985239852401</v>
      </c>
      <c r="P91" s="15">
        <f>Table1[[#This Row],[Num of Students]]/Table1[[#This Row],[Number of Classes]]</f>
        <v>24.33258426966292</v>
      </c>
      <c r="Q91" s="1">
        <v>64603</v>
      </c>
      <c r="R91" s="15">
        <f>Table1[[#This Row],[Num of Students]]/Table1[[#This Row],[Population 5-19]]*100</f>
        <v>100.56498924198567</v>
      </c>
      <c r="S91" s="15">
        <f>Table1[[#This Row],[Num of Schools ]]/Table1[[#This Row],[Population 5-19]]*1000</f>
        <v>4.194851632277139</v>
      </c>
      <c r="T91">
        <v>410</v>
      </c>
      <c r="U91">
        <v>191720</v>
      </c>
      <c r="V91" s="15">
        <f>Table1[[#This Row],[Total Population]]/Table1[[#This Row],[Area ]]</f>
        <v>467.60975609756099</v>
      </c>
    </row>
    <row r="92" spans="1:22" x14ac:dyDescent="0.25">
      <c r="A92" s="2" t="s">
        <v>8</v>
      </c>
      <c r="B92">
        <v>2021</v>
      </c>
      <c r="C92">
        <v>1614</v>
      </c>
      <c r="D92" s="1">
        <v>213849</v>
      </c>
      <c r="E92" s="15">
        <f>(Table1[[#This Row],[establishments]]/Table1[[#This Row],[Population +15]])*1000</f>
        <v>7.5473815636266712</v>
      </c>
      <c r="F92">
        <v>64279</v>
      </c>
      <c r="G92" s="15">
        <f>(Table1[[#This Row],[Employed]]/Table1[[#This Row],[Population +15]])*100</f>
        <v>30.058125125672785</v>
      </c>
      <c r="H92">
        <v>14691</v>
      </c>
      <c r="I92">
        <f>Table1[[#This Row],[Unemployed]]+Table1[[#This Row],[Employed]]</f>
        <v>78970</v>
      </c>
      <c r="J92" s="15">
        <f>(Table1[[#This Row],[Unemployed]]/Table1[[#This Row],[Labor Force]])*100</f>
        <v>18.603267063441812</v>
      </c>
      <c r="K92">
        <v>405</v>
      </c>
      <c r="L92">
        <v>86478</v>
      </c>
      <c r="M92">
        <v>4009</v>
      </c>
      <c r="N92" s="15">
        <f>Table1[[#This Row],[Num of Students]]/Table1[[#This Row],[Num of Schools ]]</f>
        <v>213.52592592592592</v>
      </c>
      <c r="O92" s="15">
        <f>Table1[[#This Row],[Number of Classes]]/Table1[[#This Row],[Num of Schools ]]</f>
        <v>9.8987654320987648</v>
      </c>
      <c r="P92" s="15">
        <f>Table1[[#This Row],[Num of Students]]/Table1[[#This Row],[Number of Classes]]</f>
        <v>21.570965328011972</v>
      </c>
      <c r="Q92" s="1">
        <v>101410</v>
      </c>
      <c r="R92" s="15">
        <f>Table1[[#This Row],[Num of Students]]/Table1[[#This Row],[Population 5-19]]*100</f>
        <v>85.275613844788481</v>
      </c>
      <c r="S92" s="15">
        <f>Table1[[#This Row],[Num of Schools ]]/Table1[[#This Row],[Population 5-19]]*1000</f>
        <v>3.9936889853071689</v>
      </c>
      <c r="T92">
        <v>3495</v>
      </c>
      <c r="U92">
        <v>311396</v>
      </c>
      <c r="V92" s="15">
        <f>Table1[[#This Row],[Total Population]]/Table1[[#This Row],[Area ]]</f>
        <v>89.09756795422031</v>
      </c>
    </row>
    <row r="93" spans="1:22" x14ac:dyDescent="0.25">
      <c r="A93" s="2" t="s">
        <v>14</v>
      </c>
      <c r="B93">
        <v>2021</v>
      </c>
      <c r="C93">
        <v>1134</v>
      </c>
      <c r="D93" s="1">
        <v>109468</v>
      </c>
      <c r="E93" s="15">
        <f>(Table1[[#This Row],[establishments]]/Table1[[#This Row],[Population +15]])*1000</f>
        <v>10.359191727262763</v>
      </c>
      <c r="F93">
        <v>31590</v>
      </c>
      <c r="G93" s="15">
        <f>(Table1[[#This Row],[Employed]]/Table1[[#This Row],[Population +15]])*100</f>
        <v>28.85774838308912</v>
      </c>
      <c r="H93">
        <v>10529</v>
      </c>
      <c r="I93">
        <f>Table1[[#This Row],[Unemployed]]+Table1[[#This Row],[Employed]]</f>
        <v>42119</v>
      </c>
      <c r="J93" s="15">
        <f>(Table1[[#This Row],[Unemployed]]/Table1[[#This Row],[Labor Force]])*100</f>
        <v>24.998219330943279</v>
      </c>
      <c r="K93">
        <v>225</v>
      </c>
      <c r="L93">
        <v>43590</v>
      </c>
      <c r="M93">
        <v>2252</v>
      </c>
      <c r="N93" s="15">
        <f>Table1[[#This Row],[Num of Students]]/Table1[[#This Row],[Num of Schools ]]</f>
        <v>193.73333333333332</v>
      </c>
      <c r="O93" s="15">
        <f>Table1[[#This Row],[Number of Classes]]/Table1[[#This Row],[Num of Schools ]]</f>
        <v>10.008888888888889</v>
      </c>
      <c r="P93" s="15">
        <f>Table1[[#This Row],[Num of Students]]/Table1[[#This Row],[Number of Classes]]</f>
        <v>19.356127886323268</v>
      </c>
      <c r="Q93" s="1">
        <v>56718</v>
      </c>
      <c r="R93" s="15">
        <f>Table1[[#This Row],[Num of Students]]/Table1[[#This Row],[Population 5-19]]*100</f>
        <v>76.853908812017352</v>
      </c>
      <c r="S93" s="15">
        <f>Table1[[#This Row],[Num of Schools ]]/Table1[[#This Row],[Population 5-19]]*1000</f>
        <v>3.9669946048873368</v>
      </c>
      <c r="T93">
        <v>32832</v>
      </c>
      <c r="U93">
        <v>166973</v>
      </c>
      <c r="V93" s="15">
        <f>Table1[[#This Row],[Total Population]]/Table1[[#This Row],[Area ]]</f>
        <v>5.085678606237817</v>
      </c>
    </row>
    <row r="94" spans="1:22" x14ac:dyDescent="0.25">
      <c r="A94" s="2" t="s">
        <v>13</v>
      </c>
      <c r="B94">
        <v>2021</v>
      </c>
      <c r="C94">
        <v>1436</v>
      </c>
      <c r="D94" s="1">
        <v>127306</v>
      </c>
      <c r="E94" s="15">
        <f>(Table1[[#This Row],[establishments]]/Table1[[#This Row],[Population +15]])*1000</f>
        <v>11.279908252556831</v>
      </c>
      <c r="F94">
        <v>33212</v>
      </c>
      <c r="G94" s="15">
        <f>(Table1[[#This Row],[Employed]]/Table1[[#This Row],[Population +15]])*100</f>
        <v>26.088322624228237</v>
      </c>
      <c r="H94">
        <v>10912</v>
      </c>
      <c r="I94">
        <f>Table1[[#This Row],[Unemployed]]+Table1[[#This Row],[Employed]]</f>
        <v>44124</v>
      </c>
      <c r="J94" s="15">
        <f>(Table1[[#This Row],[Unemployed]]/Table1[[#This Row],[Labor Force]])*100</f>
        <v>24.730305502674284</v>
      </c>
      <c r="K94">
        <v>228</v>
      </c>
      <c r="L94">
        <v>57791</v>
      </c>
      <c r="M94">
        <v>2538</v>
      </c>
      <c r="N94" s="15">
        <f>Table1[[#This Row],[Num of Students]]/Table1[[#This Row],[Num of Schools ]]</f>
        <v>253.46929824561403</v>
      </c>
      <c r="O94" s="15">
        <f>Table1[[#This Row],[Number of Classes]]/Table1[[#This Row],[Num of Schools ]]</f>
        <v>11.131578947368421</v>
      </c>
      <c r="P94" s="15">
        <f>Table1[[#This Row],[Num of Students]]/Table1[[#This Row],[Number of Classes]]</f>
        <v>22.770291568163909</v>
      </c>
      <c r="Q94" s="1">
        <v>56546</v>
      </c>
      <c r="R94" s="15">
        <f>Table1[[#This Row],[Num of Students]]/Table1[[#This Row],[Population 5-19]]*100</f>
        <v>102.20174725002653</v>
      </c>
      <c r="S94" s="15">
        <f>Table1[[#This Row],[Num of Schools ]]/Table1[[#This Row],[Population 5-19]]*1000</f>
        <v>4.0321154458317121</v>
      </c>
      <c r="T94">
        <v>940</v>
      </c>
      <c r="U94">
        <v>179199</v>
      </c>
      <c r="V94" s="15">
        <f>Table1[[#This Row],[Total Population]]/Table1[[#This Row],[Area ]]</f>
        <v>190.63723404255319</v>
      </c>
    </row>
    <row r="95" spans="1:22" x14ac:dyDescent="0.25">
      <c r="A95" s="2" t="s">
        <v>9</v>
      </c>
      <c r="B95">
        <v>2021</v>
      </c>
      <c r="C95">
        <v>1819</v>
      </c>
      <c r="D95" s="1">
        <v>229431</v>
      </c>
      <c r="E95" s="15">
        <f>(Table1[[#This Row],[establishments]]/Table1[[#This Row],[Population +15]])*1000</f>
        <v>7.9283096007078377</v>
      </c>
      <c r="F95">
        <v>62705</v>
      </c>
      <c r="G95" s="15">
        <f>(Table1[[#This Row],[Employed]]/Table1[[#This Row],[Population +15]])*100</f>
        <v>27.330657147464816</v>
      </c>
      <c r="H95">
        <v>21174</v>
      </c>
      <c r="I95">
        <f>Table1[[#This Row],[Unemployed]]+Table1[[#This Row],[Employed]]</f>
        <v>83879</v>
      </c>
      <c r="J95" s="15">
        <f>(Table1[[#This Row],[Unemployed]]/Table1[[#This Row],[Labor Force]])*100</f>
        <v>25.24350552581695</v>
      </c>
      <c r="K95">
        <v>636</v>
      </c>
      <c r="L95">
        <v>150741</v>
      </c>
      <c r="M95">
        <v>6801</v>
      </c>
      <c r="N95" s="15">
        <f>Table1[[#This Row],[Num of Students]]/Table1[[#This Row],[Num of Schools ]]</f>
        <v>237.01415094339623</v>
      </c>
      <c r="O95" s="15">
        <f>Table1[[#This Row],[Number of Classes]]/Table1[[#This Row],[Num of Schools ]]</f>
        <v>10.693396226415095</v>
      </c>
      <c r="P95" s="15">
        <f>Table1[[#This Row],[Num of Students]]/Table1[[#This Row],[Number of Classes]]</f>
        <v>22.164534627260696</v>
      </c>
      <c r="Q95" s="1">
        <v>130204</v>
      </c>
      <c r="R95" s="15">
        <f>Table1[[#This Row],[Num of Students]]/Table1[[#This Row],[Population 5-19]]*100</f>
        <v>115.77294092347394</v>
      </c>
      <c r="S95" s="15">
        <f>Table1[[#This Row],[Num of Schools ]]/Table1[[#This Row],[Population 5-19]]*1000</f>
        <v>4.8846425609044273</v>
      </c>
      <c r="T95">
        <v>26541</v>
      </c>
      <c r="U95">
        <v>359038</v>
      </c>
      <c r="V95" s="15">
        <f>Table1[[#This Row],[Total Population]]/Table1[[#This Row],[Area ]]</f>
        <v>13.527674164500207</v>
      </c>
    </row>
    <row r="96" spans="1:22" x14ac:dyDescent="0.25">
      <c r="A96" s="2" t="s">
        <v>6</v>
      </c>
      <c r="B96">
        <v>2021</v>
      </c>
      <c r="C96">
        <v>590</v>
      </c>
      <c r="D96" s="1">
        <v>63728</v>
      </c>
      <c r="E96" s="15">
        <f>(Table1[[#This Row],[establishments]]/Table1[[#This Row],[Population +15]])*1000</f>
        <v>9.2580969118754712</v>
      </c>
      <c r="F96">
        <v>18584</v>
      </c>
      <c r="G96" s="15">
        <f>(Table1[[#This Row],[Employed]]/Table1[[#This Row],[Population +15]])*100</f>
        <v>29.16143610343962</v>
      </c>
      <c r="H96">
        <v>6781</v>
      </c>
      <c r="I96">
        <f>Table1[[#This Row],[Unemployed]]+Table1[[#This Row],[Employed]]</f>
        <v>25365</v>
      </c>
      <c r="J96" s="15">
        <f>(Table1[[#This Row],[Unemployed]]/Table1[[#This Row],[Labor Force]])*100</f>
        <v>26.733688152966685</v>
      </c>
      <c r="K96">
        <v>147</v>
      </c>
      <c r="L96">
        <v>30849</v>
      </c>
      <c r="M96">
        <v>1380</v>
      </c>
      <c r="N96" s="15">
        <f>Table1[[#This Row],[Num of Students]]/Table1[[#This Row],[Num of Schools ]]</f>
        <v>209.85714285714286</v>
      </c>
      <c r="O96" s="15">
        <f>Table1[[#This Row],[Number of Classes]]/Table1[[#This Row],[Num of Schools ]]</f>
        <v>9.387755102040817</v>
      </c>
      <c r="P96" s="15">
        <f>Table1[[#This Row],[Num of Students]]/Table1[[#This Row],[Number of Classes]]</f>
        <v>22.354347826086958</v>
      </c>
      <c r="Q96" s="1">
        <v>33937</v>
      </c>
      <c r="R96" s="15">
        <f>Table1[[#This Row],[Num of Students]]/Table1[[#This Row],[Population 5-19]]*100</f>
        <v>90.900786751922681</v>
      </c>
      <c r="S96" s="15">
        <f>Table1[[#This Row],[Num of Schools ]]/Table1[[#This Row],[Population 5-19]]*1000</f>
        <v>4.3315555293632322</v>
      </c>
      <c r="T96">
        <v>2209</v>
      </c>
      <c r="U96">
        <v>96468</v>
      </c>
      <c r="V96" s="15">
        <f>Table1[[#This Row],[Total Population]]/Table1[[#This Row],[Area ]]</f>
        <v>43.670439112720686</v>
      </c>
    </row>
    <row r="97" spans="1:22" x14ac:dyDescent="0.25">
      <c r="A97" s="2" t="s">
        <v>5</v>
      </c>
      <c r="B97">
        <v>2021</v>
      </c>
      <c r="C97">
        <v>5426</v>
      </c>
      <c r="D97" s="1">
        <v>736125</v>
      </c>
      <c r="E97" s="15">
        <f>(Table1[[#This Row],[establishments]]/Table1[[#This Row],[Population +15]])*1000</f>
        <v>7.3710307352691453</v>
      </c>
      <c r="F97">
        <v>173276</v>
      </c>
      <c r="G97" s="15">
        <f>(Table1[[#This Row],[Employed]]/Table1[[#This Row],[Population +15]])*100</f>
        <v>23.538937001188657</v>
      </c>
      <c r="H97">
        <v>51172</v>
      </c>
      <c r="I97">
        <f>Table1[[#This Row],[Unemployed]]+Table1[[#This Row],[Employed]]</f>
        <v>224448</v>
      </c>
      <c r="J97" s="15">
        <f>(Table1[[#This Row],[Unemployed]]/Table1[[#This Row],[Labor Force]])*100</f>
        <v>22.799044767607644</v>
      </c>
      <c r="K97">
        <v>764</v>
      </c>
      <c r="L97">
        <v>305353</v>
      </c>
      <c r="M97">
        <v>10204</v>
      </c>
      <c r="N97" s="15">
        <f>Table1[[#This Row],[Num of Students]]/Table1[[#This Row],[Num of Schools ]]</f>
        <v>399.67670157068062</v>
      </c>
      <c r="O97" s="15">
        <f>Table1[[#This Row],[Number of Classes]]/Table1[[#This Row],[Num of Schools ]]</f>
        <v>13.356020942408376</v>
      </c>
      <c r="P97" s="15">
        <f>Table1[[#This Row],[Num of Students]]/Table1[[#This Row],[Number of Classes]]</f>
        <v>29.924833398667189</v>
      </c>
      <c r="Q97" s="1">
        <v>351165</v>
      </c>
      <c r="R97" s="15">
        <f>Table1[[#This Row],[Num of Students]]/Table1[[#This Row],[Population 5-19]]*100</f>
        <v>86.954280751213815</v>
      </c>
      <c r="S97" s="15">
        <f>Table1[[#This Row],[Num of Schools ]]/Table1[[#This Row],[Population 5-19]]*1000</f>
        <v>2.1756154514259678</v>
      </c>
      <c r="T97">
        <v>4761</v>
      </c>
      <c r="U97">
        <v>1055673</v>
      </c>
      <c r="V97" s="15">
        <f>Table1[[#This Row],[Total Population]]/Table1[[#This Row],[Area ]]</f>
        <v>221.73345935727789</v>
      </c>
    </row>
    <row r="98" spans="1:22" x14ac:dyDescent="0.25">
      <c r="A98" s="2" t="s">
        <v>11</v>
      </c>
      <c r="B98">
        <v>2022</v>
      </c>
      <c r="C98">
        <v>808</v>
      </c>
      <c r="D98" s="1">
        <v>121557</v>
      </c>
      <c r="E98" s="15">
        <f>(Table1[[#This Row],[establishments]]/Table1[[#This Row],[Population +15]])*1000</f>
        <v>6.6470873746472847</v>
      </c>
      <c r="F98">
        <v>34103</v>
      </c>
      <c r="G98" s="15">
        <f>(Table1[[#This Row],[Employed]]/Table1[[#This Row],[Population +15]])*100</f>
        <v>28.055151081385688</v>
      </c>
      <c r="H98">
        <v>10306</v>
      </c>
      <c r="I98">
        <f>Table1[[#This Row],[Unemployed]]+Table1[[#This Row],[Employed]]</f>
        <v>44409</v>
      </c>
      <c r="J98" s="15">
        <f>(Table1[[#This Row],[Unemployed]]/Table1[[#This Row],[Labor Force]])*100</f>
        <v>23.207007588551871</v>
      </c>
      <c r="K98">
        <v>220</v>
      </c>
      <c r="L98">
        <v>49787</v>
      </c>
      <c r="M98">
        <v>2227</v>
      </c>
      <c r="N98" s="15">
        <f>Table1[[#This Row],[Num of Students]]/Table1[[#This Row],[Num of Schools ]]</f>
        <v>226.30454545454546</v>
      </c>
      <c r="O98" s="15">
        <f>Table1[[#This Row],[Number of Classes]]/Table1[[#This Row],[Num of Schools ]]</f>
        <v>10.122727272727273</v>
      </c>
      <c r="P98" s="15">
        <f>Table1[[#This Row],[Num of Students]]/Table1[[#This Row],[Number of Classes]]</f>
        <v>22.356084418500224</v>
      </c>
      <c r="Q98" s="1">
        <v>62363</v>
      </c>
      <c r="R98" s="15">
        <f>Table1[[#This Row],[Num of Students]]/Table1[[#This Row],[Population 5-19]]*100</f>
        <v>79.834196558857016</v>
      </c>
      <c r="S98" s="15">
        <f>Table1[[#This Row],[Num of Schools ]]/Table1[[#This Row],[Population 5-19]]*1000</f>
        <v>3.5277327902762856</v>
      </c>
      <c r="T98">
        <v>420</v>
      </c>
      <c r="U98">
        <v>183197</v>
      </c>
      <c r="V98" s="15">
        <f>Table1[[#This Row],[Total Population]]/Table1[[#This Row],[Area ]]</f>
        <v>436.18333333333334</v>
      </c>
    </row>
    <row r="99" spans="1:22" x14ac:dyDescent="0.25">
      <c r="A99" s="2" t="s">
        <v>12</v>
      </c>
      <c r="B99">
        <v>2022</v>
      </c>
      <c r="C99">
        <v>40642</v>
      </c>
      <c r="D99" s="1">
        <v>2210603</v>
      </c>
      <c r="E99" s="15">
        <f>(Table1[[#This Row],[establishments]]/Table1[[#This Row],[Population +15]])*1000</f>
        <v>18.385028881259998</v>
      </c>
      <c r="F99">
        <v>570417</v>
      </c>
      <c r="G99" s="15">
        <f>(Table1[[#This Row],[Employed]]/Table1[[#This Row],[Population +15]])*100</f>
        <v>25.803683429362938</v>
      </c>
      <c r="H99">
        <v>154507</v>
      </c>
      <c r="I99">
        <f>Table1[[#This Row],[Unemployed]]+Table1[[#This Row],[Employed]]</f>
        <v>724924</v>
      </c>
      <c r="J99" s="15">
        <f>(Table1[[#This Row],[Unemployed]]/Table1[[#This Row],[Labor Force]])*100</f>
        <v>21.313544592260705</v>
      </c>
      <c r="K99">
        <v>2343</v>
      </c>
      <c r="L99">
        <v>822413</v>
      </c>
      <c r="M99">
        <v>30942</v>
      </c>
      <c r="N99" s="15">
        <f>Table1[[#This Row],[Num of Students]]/Table1[[#This Row],[Num of Schools ]]</f>
        <v>351.00853606487408</v>
      </c>
      <c r="O99" s="15">
        <f>Table1[[#This Row],[Number of Classes]]/Table1[[#This Row],[Num of Schools ]]</f>
        <v>13.206145966709347</v>
      </c>
      <c r="P99" s="15">
        <f>Table1[[#This Row],[Num of Students]]/Table1[[#This Row],[Number of Classes]]</f>
        <v>26.579180402042532</v>
      </c>
      <c r="Q99" s="1">
        <v>876193</v>
      </c>
      <c r="R99" s="15">
        <f>Table1[[#This Row],[Num of Students]]/Table1[[#This Row],[Population 5-19]]*100</f>
        <v>93.862082897261217</v>
      </c>
      <c r="S99" s="15">
        <f>Table1[[#This Row],[Num of Schools ]]/Table1[[#This Row],[Population 5-19]]*1000</f>
        <v>2.6740683844769357</v>
      </c>
      <c r="T99">
        <v>7579</v>
      </c>
      <c r="U99">
        <v>2978316</v>
      </c>
      <c r="V99" s="15">
        <f>Table1[[#This Row],[Total Population]]/Table1[[#This Row],[Area ]]</f>
        <v>392.96952104499275</v>
      </c>
    </row>
    <row r="100" spans="1:22" x14ac:dyDescent="0.25">
      <c r="A100" s="2" t="s">
        <v>7</v>
      </c>
      <c r="B100">
        <v>2022</v>
      </c>
      <c r="C100">
        <v>1675</v>
      </c>
      <c r="D100" s="1">
        <v>105845</v>
      </c>
      <c r="E100" s="15">
        <f>(Table1[[#This Row],[establishments]]/Table1[[#This Row],[Population +15]])*1000</f>
        <v>15.825027162360055</v>
      </c>
      <c r="F100">
        <v>27309</v>
      </c>
      <c r="G100" s="15">
        <f>(Table1[[#This Row],[Employed]]/Table1[[#This Row],[Population +15]])*100</f>
        <v>25.800935329963625</v>
      </c>
      <c r="H100">
        <v>7655</v>
      </c>
      <c r="I100">
        <f>Table1[[#This Row],[Unemployed]]+Table1[[#This Row],[Employed]]</f>
        <v>34964</v>
      </c>
      <c r="J100" s="15">
        <f>(Table1[[#This Row],[Unemployed]]/Table1[[#This Row],[Labor Force]])*100</f>
        <v>21.893948060862598</v>
      </c>
      <c r="K100">
        <v>151</v>
      </c>
      <c r="L100">
        <v>822413</v>
      </c>
      <c r="M100">
        <v>2076</v>
      </c>
      <c r="N100" s="15">
        <f>Table1[[#This Row],[Num of Students]]/Table1[[#This Row],[Num of Schools ]]</f>
        <v>5446.4437086092712</v>
      </c>
      <c r="O100" s="15">
        <f>Table1[[#This Row],[Number of Classes]]/Table1[[#This Row],[Num of Schools ]]</f>
        <v>13.748344370860927</v>
      </c>
      <c r="P100" s="15">
        <f>Table1[[#This Row],[Num of Students]]/Table1[[#This Row],[Number of Classes]]</f>
        <v>396.15269749518302</v>
      </c>
      <c r="Q100" s="1">
        <v>56691</v>
      </c>
      <c r="R100" s="15">
        <f>Table1[[#This Row],[Num of Students]]/Table1[[#This Row],[Population 5-19]]*100</f>
        <v>1450.6941137041154</v>
      </c>
      <c r="S100" s="15">
        <f>Table1[[#This Row],[Num of Schools ]]/Table1[[#This Row],[Population 5-19]]*1000</f>
        <v>2.6635621174436857</v>
      </c>
      <c r="T100">
        <v>6900</v>
      </c>
      <c r="U100">
        <v>157466</v>
      </c>
      <c r="V100" s="15">
        <f>Table1[[#This Row],[Total Population]]/Table1[[#This Row],[Area ]]</f>
        <v>22.821159420289856</v>
      </c>
    </row>
    <row r="101" spans="1:22" x14ac:dyDescent="0.25">
      <c r="A101" s="2" t="s">
        <v>4</v>
      </c>
      <c r="B101">
        <v>2022</v>
      </c>
      <c r="C101">
        <v>4049</v>
      </c>
      <c r="D101" s="1">
        <v>332550</v>
      </c>
      <c r="E101" s="15">
        <f>(Table1[[#This Row],[establishments]]/Table1[[#This Row],[Population +15]])*1000</f>
        <v>12.175612689821079</v>
      </c>
      <c r="F101">
        <v>82087</v>
      </c>
      <c r="G101" s="15">
        <f>(Table1[[#This Row],[Employed]]/Table1[[#This Row],[Population +15]])*100</f>
        <v>24.684107652984512</v>
      </c>
      <c r="H101">
        <v>27616</v>
      </c>
      <c r="I101">
        <f>Table1[[#This Row],[Unemployed]]+Table1[[#This Row],[Employed]]</f>
        <v>109703</v>
      </c>
      <c r="J101" s="15">
        <f>(Table1[[#This Row],[Unemployed]]/Table1[[#This Row],[Labor Force]])*100</f>
        <v>25.173422786979387</v>
      </c>
      <c r="K101">
        <v>482</v>
      </c>
      <c r="L101">
        <v>152238</v>
      </c>
      <c r="M101">
        <v>5794</v>
      </c>
      <c r="N101" s="15">
        <f>Table1[[#This Row],[Num of Students]]/Table1[[#This Row],[Num of Schools ]]</f>
        <v>315.84647302904563</v>
      </c>
      <c r="O101" s="15">
        <f>Table1[[#This Row],[Number of Classes]]/Table1[[#This Row],[Num of Schools ]]</f>
        <v>12.020746887966805</v>
      </c>
      <c r="P101" s="15">
        <f>Table1[[#This Row],[Num of Students]]/Table1[[#This Row],[Number of Classes]]</f>
        <v>26.275112185018987</v>
      </c>
      <c r="Q101" s="1">
        <v>138225</v>
      </c>
      <c r="R101" s="15">
        <f>Table1[[#This Row],[Num of Students]]/Table1[[#This Row],[Population 5-19]]*100</f>
        <v>110.13781877373847</v>
      </c>
      <c r="S101" s="15">
        <f>Table1[[#This Row],[Num of Schools ]]/Table1[[#This Row],[Population 5-19]]*1000</f>
        <v>3.4870681859287394</v>
      </c>
      <c r="T101">
        <v>1119</v>
      </c>
      <c r="U101">
        <v>462696</v>
      </c>
      <c r="V101" s="15">
        <f>Table1[[#This Row],[Total Population]]/Table1[[#This Row],[Area ]]</f>
        <v>413.49061662198392</v>
      </c>
    </row>
    <row r="102" spans="1:22" x14ac:dyDescent="0.25">
      <c r="A102" s="2" t="s">
        <v>3</v>
      </c>
      <c r="B102">
        <v>2022</v>
      </c>
      <c r="C102">
        <v>7015</v>
      </c>
      <c r="D102" s="1">
        <v>1061175</v>
      </c>
      <c r="E102" s="15">
        <f>(Table1[[#This Row],[establishments]]/Table1[[#This Row],[Population +15]])*1000</f>
        <v>6.6105967441750888</v>
      </c>
      <c r="F102">
        <v>272995</v>
      </c>
      <c r="G102" s="15">
        <f>(Table1[[#This Row],[Employed]]/Table1[[#This Row],[Population +15]])*100</f>
        <v>25.725728555610527</v>
      </c>
      <c r="H102">
        <v>90640</v>
      </c>
      <c r="I102">
        <f>Table1[[#This Row],[Unemployed]]+Table1[[#This Row],[Employed]]</f>
        <v>363635</v>
      </c>
      <c r="J102" s="15">
        <f>(Table1[[#This Row],[Unemployed]]/Table1[[#This Row],[Labor Force]])*100</f>
        <v>24.926093472850525</v>
      </c>
      <c r="K102">
        <v>1378</v>
      </c>
      <c r="L102">
        <v>409203</v>
      </c>
      <c r="M102">
        <v>15513</v>
      </c>
      <c r="N102" s="15">
        <f>Table1[[#This Row],[Num of Students]]/Table1[[#This Row],[Num of Schools ]]</f>
        <v>296.95428156748909</v>
      </c>
      <c r="O102" s="15">
        <f>Table1[[#This Row],[Number of Classes]]/Table1[[#This Row],[Num of Schools ]]</f>
        <v>11.257619738751814</v>
      </c>
      <c r="P102" s="15">
        <f>Table1[[#This Row],[Num of Students]]/Table1[[#This Row],[Number of Classes]]</f>
        <v>26.378070005801586</v>
      </c>
      <c r="Q102" s="1">
        <v>514867</v>
      </c>
      <c r="R102" s="15">
        <f>Table1[[#This Row],[Num of Students]]/Table1[[#This Row],[Population 5-19]]*100</f>
        <v>79.477418440102014</v>
      </c>
      <c r="S102" s="15">
        <f>Table1[[#This Row],[Num of Schools ]]/Table1[[#This Row],[Population 5-19]]*1000</f>
        <v>2.6764193471323661</v>
      </c>
      <c r="T102">
        <v>1572</v>
      </c>
      <c r="U102">
        <v>1534928</v>
      </c>
      <c r="V102" s="15">
        <f>Table1[[#This Row],[Total Population]]/Table1[[#This Row],[Area ]]</f>
        <v>976.41730279898218</v>
      </c>
    </row>
    <row r="103" spans="1:22" x14ac:dyDescent="0.25">
      <c r="A103" s="2" t="s">
        <v>10</v>
      </c>
      <c r="B103">
        <v>2022</v>
      </c>
      <c r="C103">
        <v>1173</v>
      </c>
      <c r="D103" s="1">
        <v>130797</v>
      </c>
      <c r="E103" s="15">
        <f>(Table1[[#This Row],[establishments]]/Table1[[#This Row],[Population +15]])*1000</f>
        <v>8.9680955985229023</v>
      </c>
      <c r="F103">
        <v>37371</v>
      </c>
      <c r="G103" s="15">
        <f>(Table1[[#This Row],[Employed]]/Table1[[#This Row],[Population +15]])*100</f>
        <v>28.571756232941119</v>
      </c>
      <c r="H103">
        <v>10995</v>
      </c>
      <c r="I103">
        <f>Table1[[#This Row],[Unemployed]]+Table1[[#This Row],[Employed]]</f>
        <v>48366</v>
      </c>
      <c r="J103" s="15">
        <f>(Table1[[#This Row],[Unemployed]]/Table1[[#This Row],[Labor Force]])*100</f>
        <v>22.732911549435553</v>
      </c>
      <c r="K103">
        <v>263</v>
      </c>
      <c r="L103">
        <v>67034</v>
      </c>
      <c r="M103">
        <v>2663</v>
      </c>
      <c r="N103" s="15">
        <f>Table1[[#This Row],[Num of Students]]/Table1[[#This Row],[Num of Schools ]]</f>
        <v>254.88212927756655</v>
      </c>
      <c r="O103" s="15">
        <f>Table1[[#This Row],[Number of Classes]]/Table1[[#This Row],[Num of Schools ]]</f>
        <v>10.125475285171103</v>
      </c>
      <c r="P103" s="15">
        <f>Table1[[#This Row],[Num of Students]]/Table1[[#This Row],[Number of Classes]]</f>
        <v>25.172361997746901</v>
      </c>
      <c r="Q103" s="1">
        <v>69084</v>
      </c>
      <c r="R103" s="15">
        <f>Table1[[#This Row],[Num of Students]]/Table1[[#This Row],[Population 5-19]]*100</f>
        <v>97.032597996641769</v>
      </c>
      <c r="S103" s="15">
        <f>Table1[[#This Row],[Num of Schools ]]/Table1[[#This Row],[Population 5-19]]*1000</f>
        <v>3.8069596433327542</v>
      </c>
      <c r="T103">
        <v>410</v>
      </c>
      <c r="U103">
        <v>195532</v>
      </c>
      <c r="V103" s="15">
        <f>Table1[[#This Row],[Total Population]]/Table1[[#This Row],[Area ]]</f>
        <v>476.90731707317076</v>
      </c>
    </row>
    <row r="104" spans="1:22" x14ac:dyDescent="0.25">
      <c r="A104" s="2" t="s">
        <v>8</v>
      </c>
      <c r="B104">
        <v>2022</v>
      </c>
      <c r="C104">
        <v>1909</v>
      </c>
      <c r="D104" s="1">
        <v>226326</v>
      </c>
      <c r="E104" s="15">
        <f>(Table1[[#This Row],[establishments]]/Table1[[#This Row],[Population +15]])*1000</f>
        <v>8.4347357351784584</v>
      </c>
      <c r="F104">
        <v>66096</v>
      </c>
      <c r="G104" s="15">
        <f>(Table1[[#This Row],[Employed]]/Table1[[#This Row],[Population +15]])*100</f>
        <v>29.203891731396304</v>
      </c>
      <c r="H104">
        <v>19161</v>
      </c>
      <c r="I104">
        <f>Table1[[#This Row],[Unemployed]]+Table1[[#This Row],[Employed]]</f>
        <v>85257</v>
      </c>
      <c r="J104" s="15">
        <f>(Table1[[#This Row],[Unemployed]]/Table1[[#This Row],[Labor Force]])*100</f>
        <v>22.47440092895598</v>
      </c>
      <c r="K104">
        <v>406</v>
      </c>
      <c r="L104">
        <v>88355</v>
      </c>
      <c r="M104">
        <v>4048</v>
      </c>
      <c r="N104" s="15">
        <f>Table1[[#This Row],[Num of Students]]/Table1[[#This Row],[Num of Schools ]]</f>
        <v>217.6231527093596</v>
      </c>
      <c r="O104" s="15">
        <f>Table1[[#This Row],[Number of Classes]]/Table1[[#This Row],[Num of Schools ]]</f>
        <v>9.970443349753694</v>
      </c>
      <c r="P104" s="15">
        <f>Table1[[#This Row],[Num of Students]]/Table1[[#This Row],[Number of Classes]]</f>
        <v>21.826828063241106</v>
      </c>
      <c r="Q104" s="1">
        <v>97130</v>
      </c>
      <c r="R104" s="15">
        <f>Table1[[#This Row],[Num of Students]]/Table1[[#This Row],[Population 5-19]]*100</f>
        <v>90.965716050653768</v>
      </c>
      <c r="S104" s="15">
        <f>Table1[[#This Row],[Num of Schools ]]/Table1[[#This Row],[Population 5-19]]*1000</f>
        <v>4.1799649953670341</v>
      </c>
      <c r="T104">
        <v>3495</v>
      </c>
      <c r="U104">
        <v>317589</v>
      </c>
      <c r="V104" s="15">
        <f>Table1[[#This Row],[Total Population]]/Table1[[#This Row],[Area ]]</f>
        <v>90.869527896995706</v>
      </c>
    </row>
    <row r="105" spans="1:22" x14ac:dyDescent="0.25">
      <c r="A105" s="2" t="s">
        <v>14</v>
      </c>
      <c r="B105">
        <v>2022</v>
      </c>
      <c r="C105">
        <v>1238</v>
      </c>
      <c r="D105" s="1">
        <v>117660</v>
      </c>
      <c r="E105" s="15">
        <f>(Table1[[#This Row],[establishments]]/Table1[[#This Row],[Population +15]])*1000</f>
        <v>10.521842597314295</v>
      </c>
      <c r="F105">
        <v>33981</v>
      </c>
      <c r="G105" s="15">
        <f>(Table1[[#This Row],[Employed]]/Table1[[#This Row],[Population +15]])*100</f>
        <v>28.880673125956147</v>
      </c>
      <c r="H105">
        <v>10322</v>
      </c>
      <c r="I105">
        <f>Table1[[#This Row],[Unemployed]]+Table1[[#This Row],[Employed]]</f>
        <v>44303</v>
      </c>
      <c r="J105" s="15">
        <f>(Table1[[#This Row],[Unemployed]]/Table1[[#This Row],[Labor Force]])*100</f>
        <v>23.29864794709162</v>
      </c>
      <c r="K105">
        <v>233</v>
      </c>
      <c r="L105">
        <v>45118</v>
      </c>
      <c r="M105">
        <v>2332</v>
      </c>
      <c r="N105" s="15">
        <f>Table1[[#This Row],[Num of Students]]/Table1[[#This Row],[Num of Schools ]]</f>
        <v>193.63948497854076</v>
      </c>
      <c r="O105" s="15">
        <f>Table1[[#This Row],[Number of Classes]]/Table1[[#This Row],[Num of Schools ]]</f>
        <v>10.008583690987125</v>
      </c>
      <c r="P105" s="15">
        <f>Table1[[#This Row],[Num of Students]]/Table1[[#This Row],[Number of Classes]]</f>
        <v>19.347341337907377</v>
      </c>
      <c r="Q105" s="1">
        <v>56816</v>
      </c>
      <c r="R105" s="15">
        <f>Table1[[#This Row],[Num of Students]]/Table1[[#This Row],[Population 5-19]]*100</f>
        <v>79.410729372007879</v>
      </c>
      <c r="S105" s="15">
        <f>Table1[[#This Row],[Num of Schools ]]/Table1[[#This Row],[Population 5-19]]*1000</f>
        <v>4.1009574767671078</v>
      </c>
      <c r="T105">
        <v>32832</v>
      </c>
      <c r="U105">
        <v>176344</v>
      </c>
      <c r="V105" s="15">
        <f>Table1[[#This Row],[Total Population]]/Table1[[#This Row],[Area ]]</f>
        <v>5.371101364522417</v>
      </c>
    </row>
    <row r="106" spans="1:22" x14ac:dyDescent="0.25">
      <c r="A106" s="2" t="s">
        <v>13</v>
      </c>
      <c r="B106">
        <v>2022</v>
      </c>
      <c r="C106">
        <v>1531</v>
      </c>
      <c r="D106" s="1">
        <v>131288</v>
      </c>
      <c r="E106" s="15">
        <f>(Table1[[#This Row],[establishments]]/Table1[[#This Row],[Population +15]])*1000</f>
        <v>11.661385655962464</v>
      </c>
      <c r="F106">
        <v>34156</v>
      </c>
      <c r="G106" s="15">
        <f>(Table1[[#This Row],[Employed]]/Table1[[#This Row],[Population +15]])*100</f>
        <v>26.016086771068185</v>
      </c>
      <c r="H106">
        <v>9105</v>
      </c>
      <c r="I106">
        <f>Table1[[#This Row],[Unemployed]]+Table1[[#This Row],[Employed]]</f>
        <v>43261</v>
      </c>
      <c r="J106" s="15">
        <f>(Table1[[#This Row],[Unemployed]]/Table1[[#This Row],[Labor Force]])*100</f>
        <v>21.046670211044592</v>
      </c>
      <c r="K106">
        <v>231</v>
      </c>
      <c r="L106">
        <v>59397</v>
      </c>
      <c r="M106">
        <v>2521</v>
      </c>
      <c r="N106" s="15">
        <f>Table1[[#This Row],[Num of Students]]/Table1[[#This Row],[Num of Schools ]]</f>
        <v>257.12987012987014</v>
      </c>
      <c r="O106" s="15">
        <f>Table1[[#This Row],[Number of Classes]]/Table1[[#This Row],[Num of Schools ]]</f>
        <v>10.913419913419913</v>
      </c>
      <c r="P106" s="15">
        <f>Table1[[#This Row],[Num of Students]]/Table1[[#This Row],[Number of Classes]]</f>
        <v>23.560888536295121</v>
      </c>
      <c r="Q106" s="1">
        <v>55247</v>
      </c>
      <c r="R106" s="15">
        <f>Table1[[#This Row],[Num of Students]]/Table1[[#This Row],[Population 5-19]]*100</f>
        <v>107.51172009339874</v>
      </c>
      <c r="S106" s="15">
        <f>Table1[[#This Row],[Num of Schools ]]/Table1[[#This Row],[Population 5-19]]*1000</f>
        <v>4.1812225098195377</v>
      </c>
      <c r="T106">
        <v>940</v>
      </c>
      <c r="U106">
        <v>182763</v>
      </c>
      <c r="V106" s="15">
        <f>Table1[[#This Row],[Total Population]]/Table1[[#This Row],[Area ]]</f>
        <v>194.42872340425532</v>
      </c>
    </row>
    <row r="107" spans="1:22" x14ac:dyDescent="0.25">
      <c r="A107" s="2" t="s">
        <v>9</v>
      </c>
      <c r="B107">
        <v>2022</v>
      </c>
      <c r="C107">
        <v>1999</v>
      </c>
      <c r="D107" s="1">
        <v>235726</v>
      </c>
      <c r="E107" s="15">
        <f>(Table1[[#This Row],[establishments]]/Table1[[#This Row],[Population +15]])*1000</f>
        <v>8.4801846211279202</v>
      </c>
      <c r="F107">
        <v>61517</v>
      </c>
      <c r="G107" s="15">
        <f>(Table1[[#This Row],[Employed]]/Table1[[#This Row],[Population +15]])*100</f>
        <v>26.096824279035829</v>
      </c>
      <c r="H107">
        <v>23165</v>
      </c>
      <c r="I107">
        <f>Table1[[#This Row],[Unemployed]]+Table1[[#This Row],[Employed]]</f>
        <v>84682</v>
      </c>
      <c r="J107" s="15">
        <f>(Table1[[#This Row],[Unemployed]]/Table1[[#This Row],[Labor Force]])*100</f>
        <v>27.355282114262771</v>
      </c>
      <c r="K107">
        <v>649</v>
      </c>
      <c r="L107">
        <v>154956</v>
      </c>
      <c r="M107">
        <v>6965</v>
      </c>
      <c r="N107" s="15">
        <f>Table1[[#This Row],[Num of Students]]/Table1[[#This Row],[Num of Schools ]]</f>
        <v>238.76117103235748</v>
      </c>
      <c r="O107" s="15">
        <f>Table1[[#This Row],[Number of Classes]]/Table1[[#This Row],[Num of Schools ]]</f>
        <v>10.731895223420647</v>
      </c>
      <c r="P107" s="15">
        <f>Table1[[#This Row],[Num of Students]]/Table1[[#This Row],[Number of Classes]]</f>
        <v>22.247810480976309</v>
      </c>
      <c r="Q107" s="1">
        <v>136528</v>
      </c>
      <c r="R107" s="15">
        <f>Table1[[#This Row],[Num of Students]]/Table1[[#This Row],[Population 5-19]]*100</f>
        <v>113.49759756240478</v>
      </c>
      <c r="S107" s="15">
        <f>Table1[[#This Row],[Num of Schools ]]/Table1[[#This Row],[Population 5-19]]*1000</f>
        <v>4.7536036563928272</v>
      </c>
      <c r="T107">
        <v>26541</v>
      </c>
      <c r="U107">
        <v>367129</v>
      </c>
      <c r="V107" s="15">
        <f>Table1[[#This Row],[Total Population]]/Table1[[#This Row],[Area ]]</f>
        <v>13.83252326589051</v>
      </c>
    </row>
    <row r="108" spans="1:22" x14ac:dyDescent="0.25">
      <c r="A108" s="2" t="s">
        <v>6</v>
      </c>
      <c r="B108">
        <v>2022</v>
      </c>
      <c r="C108">
        <v>635</v>
      </c>
      <c r="D108" s="1">
        <v>70435</v>
      </c>
      <c r="E108" s="15">
        <f>(Table1[[#This Row],[establishments]]/Table1[[#This Row],[Population +15]])*1000</f>
        <v>9.0154042734436004</v>
      </c>
      <c r="F108">
        <v>20315</v>
      </c>
      <c r="G108" s="15">
        <f>(Table1[[#This Row],[Employed]]/Table1[[#This Row],[Population +15]])*100</f>
        <v>28.842194931497122</v>
      </c>
      <c r="H108">
        <v>6993</v>
      </c>
      <c r="I108">
        <f>Table1[[#This Row],[Unemployed]]+Table1[[#This Row],[Employed]]</f>
        <v>27308</v>
      </c>
      <c r="J108" s="15">
        <f>(Table1[[#This Row],[Unemployed]]/Table1[[#This Row],[Labor Force]])*100</f>
        <v>25.607880474586203</v>
      </c>
      <c r="K108">
        <v>151</v>
      </c>
      <c r="L108">
        <v>31680</v>
      </c>
      <c r="M108">
        <v>1412</v>
      </c>
      <c r="N108" s="15">
        <f>Table1[[#This Row],[Num of Students]]/Table1[[#This Row],[Num of Schools ]]</f>
        <v>209.80132450331126</v>
      </c>
      <c r="O108" s="15">
        <f>Table1[[#This Row],[Number of Classes]]/Table1[[#This Row],[Num of Schools ]]</f>
        <v>9.3509933774834444</v>
      </c>
      <c r="P108" s="15">
        <f>Table1[[#This Row],[Num of Students]]/Table1[[#This Row],[Number of Classes]]</f>
        <v>22.436260623229462</v>
      </c>
      <c r="Q108" s="1">
        <v>35426</v>
      </c>
      <c r="R108" s="15">
        <f>Table1[[#This Row],[Num of Students]]/Table1[[#This Row],[Population 5-19]]*100</f>
        <v>89.425845424264665</v>
      </c>
      <c r="S108" s="15">
        <f>Table1[[#This Row],[Num of Schools ]]/Table1[[#This Row],[Population 5-19]]*1000</f>
        <v>4.2624061423813018</v>
      </c>
      <c r="T108">
        <v>2209</v>
      </c>
      <c r="U108">
        <v>105071</v>
      </c>
      <c r="V108" s="15">
        <f>Table1[[#This Row],[Total Population]]/Table1[[#This Row],[Area ]]</f>
        <v>47.56496152105025</v>
      </c>
    </row>
    <row r="109" spans="1:22" x14ac:dyDescent="0.25">
      <c r="A109" s="2" t="s">
        <v>5</v>
      </c>
      <c r="B109">
        <v>2022</v>
      </c>
      <c r="C109">
        <v>5739</v>
      </c>
      <c r="D109" s="1">
        <v>765902</v>
      </c>
      <c r="E109" s="15">
        <f>(Table1[[#This Row],[establishments]]/Table1[[#This Row],[Population +15]])*1000</f>
        <v>7.4931257523808528</v>
      </c>
      <c r="F109">
        <v>178473</v>
      </c>
      <c r="G109" s="15">
        <f>(Table1[[#This Row],[Employed]]/Table1[[#This Row],[Population +15]])*100</f>
        <v>23.30232849633504</v>
      </c>
      <c r="H109">
        <v>49371</v>
      </c>
      <c r="I109">
        <f>Table1[[#This Row],[Unemployed]]+Table1[[#This Row],[Employed]]</f>
        <v>227844</v>
      </c>
      <c r="J109" s="15">
        <f>(Table1[[#This Row],[Unemployed]]/Table1[[#This Row],[Labor Force]])*100</f>
        <v>21.668773371254016</v>
      </c>
      <c r="K109">
        <v>808</v>
      </c>
      <c r="L109">
        <v>311543</v>
      </c>
      <c r="M109">
        <v>10296</v>
      </c>
      <c r="N109" s="15">
        <f>Table1[[#This Row],[Num of Students]]/Table1[[#This Row],[Num of Schools ]]</f>
        <v>385.57301980198019</v>
      </c>
      <c r="O109" s="15">
        <f>Table1[[#This Row],[Number of Classes]]/Table1[[#This Row],[Num of Schools ]]</f>
        <v>12.742574257425742</v>
      </c>
      <c r="P109" s="15">
        <f>Table1[[#This Row],[Num of Students]]/Table1[[#This Row],[Number of Classes]]</f>
        <v>30.258644133644133</v>
      </c>
      <c r="Q109">
        <v>348475</v>
      </c>
      <c r="R109" s="15">
        <f>Table1[[#This Row],[Num of Students]]/Table1[[#This Row],[Population 5-19]]*100</f>
        <v>89.401822225410726</v>
      </c>
      <c r="S109" s="15">
        <f>Table1[[#This Row],[Num of Schools ]]/Table1[[#This Row],[Population 5-19]]*1000</f>
        <v>2.3186742234019655</v>
      </c>
      <c r="T109">
        <v>4761</v>
      </c>
      <c r="U109">
        <v>1077191</v>
      </c>
      <c r="V109" s="15">
        <f>Table1[[#This Row],[Total Population]]/Table1[[#This Row],[Area ]]</f>
        <v>226.25309808863685</v>
      </c>
    </row>
    <row r="110" spans="1:22" x14ac:dyDescent="0.25">
      <c r="A110" s="2" t="s">
        <v>11</v>
      </c>
      <c r="B110">
        <v>2023</v>
      </c>
      <c r="C110">
        <v>857</v>
      </c>
      <c r="D110" s="1">
        <v>127875</v>
      </c>
      <c r="E110" s="15">
        <f>(Table1[[#This Row],[establishments]]/Table1[[#This Row],[Population +15]])*1000</f>
        <v>6.7018572825024432</v>
      </c>
      <c r="F110">
        <v>34517</v>
      </c>
      <c r="G110" s="15">
        <f>(Table1[[#This Row],[Employed]]/Table1[[#This Row],[Population +15]])*100</f>
        <v>26.992766373411538</v>
      </c>
      <c r="H110">
        <v>9386</v>
      </c>
      <c r="I110">
        <f>Table1[[#This Row],[Unemployed]]+Table1[[#This Row],[Employed]]</f>
        <v>43903</v>
      </c>
      <c r="J110" s="15">
        <f>(Table1[[#This Row],[Unemployed]]/Table1[[#This Row],[Labor Force]])*100</f>
        <v>21.37894904676218</v>
      </c>
      <c r="K110">
        <v>226</v>
      </c>
      <c r="L110">
        <v>50632</v>
      </c>
      <c r="M110">
        <v>2412</v>
      </c>
      <c r="N110" s="15">
        <f>Table1[[#This Row],[Num of Students]]/Table1[[#This Row],[Num of Schools ]]</f>
        <v>224.0353982300885</v>
      </c>
      <c r="O110" s="15">
        <f>Table1[[#This Row],[Number of Classes]]/Table1[[#This Row],[Num of Schools ]]</f>
        <v>10.672566371681416</v>
      </c>
      <c r="P110" s="15">
        <f>Table1[[#This Row],[Num of Students]]/Table1[[#This Row],[Number of Classes]]</f>
        <v>20.991708126036485</v>
      </c>
      <c r="Q110">
        <v>64417</v>
      </c>
      <c r="R110" s="15">
        <f>Table1[[#This Row],[Num of Students]]/Table1[[#This Row],[Population 5-19]]*100</f>
        <v>78.600369467687102</v>
      </c>
      <c r="S110" s="15">
        <f>Table1[[#This Row],[Num of Schools ]]/Table1[[#This Row],[Population 5-19]]*1000</f>
        <v>3.5083906422217739</v>
      </c>
      <c r="T110">
        <v>420</v>
      </c>
      <c r="U110">
        <v>187802</v>
      </c>
      <c r="V110" s="15">
        <f>Table1[[#This Row],[Total Population]]/Table1[[#This Row],[Area ]]</f>
        <v>447.14761904761906</v>
      </c>
    </row>
    <row r="111" spans="1:22" x14ac:dyDescent="0.25">
      <c r="A111" s="2" t="s">
        <v>12</v>
      </c>
      <c r="B111">
        <v>2023</v>
      </c>
      <c r="C111">
        <v>42047</v>
      </c>
      <c r="D111" s="1">
        <v>2299646</v>
      </c>
      <c r="E111" s="15">
        <f>(Table1[[#This Row],[establishments]]/Table1[[#This Row],[Population +15]])*1000</f>
        <v>18.284118512153611</v>
      </c>
      <c r="F111">
        <v>596450</v>
      </c>
      <c r="G111" s="15">
        <f>(Table1[[#This Row],[Employed]]/Table1[[#This Row],[Population +15]])*100</f>
        <v>25.93660067679982</v>
      </c>
      <c r="H111">
        <v>160218</v>
      </c>
      <c r="I111">
        <f>Table1[[#This Row],[Unemployed]]+Table1[[#This Row],[Employed]]</f>
        <v>756668</v>
      </c>
      <c r="J111" s="15">
        <f>(Table1[[#This Row],[Unemployed]]/Table1[[#This Row],[Labor Force]])*100</f>
        <v>21.174147710752933</v>
      </c>
      <c r="K111">
        <v>2402</v>
      </c>
      <c r="L111">
        <v>831204</v>
      </c>
      <c r="M111">
        <v>33418</v>
      </c>
      <c r="N111" s="15">
        <f>Table1[[#This Row],[Num of Students]]/Table1[[#This Row],[Num of Schools ]]</f>
        <v>346.04662781015821</v>
      </c>
      <c r="O111" s="15">
        <f>Table1[[#This Row],[Number of Classes]]/Table1[[#This Row],[Num of Schools ]]</f>
        <v>13.912572855953373</v>
      </c>
      <c r="P111" s="15">
        <f>Table1[[#This Row],[Num of Students]]/Table1[[#This Row],[Number of Classes]]</f>
        <v>24.872942725477287</v>
      </c>
      <c r="Q111">
        <v>851833</v>
      </c>
      <c r="R111" s="15">
        <f>Table1[[#This Row],[Num of Students]]/Table1[[#This Row],[Population 5-19]]*100</f>
        <v>97.578281188918481</v>
      </c>
      <c r="S111" s="15">
        <f>Table1[[#This Row],[Num of Schools ]]/Table1[[#This Row],[Population 5-19]]*1000</f>
        <v>2.8198015338687279</v>
      </c>
      <c r="T111">
        <v>7579</v>
      </c>
      <c r="U111">
        <v>3053215</v>
      </c>
      <c r="V111" s="15">
        <f>Table1[[#This Row],[Total Population]]/Table1[[#This Row],[Area ]]</f>
        <v>402.85195936139331</v>
      </c>
    </row>
    <row r="112" spans="1:22" x14ac:dyDescent="0.25">
      <c r="A112" s="2" t="s">
        <v>7</v>
      </c>
      <c r="B112">
        <v>2023</v>
      </c>
      <c r="C112">
        <v>1683</v>
      </c>
      <c r="D112" s="1">
        <v>112769</v>
      </c>
      <c r="E112" s="15">
        <f>(Table1[[#This Row],[establishments]]/Table1[[#This Row],[Population +15]])*1000</f>
        <v>14.924314306236642</v>
      </c>
      <c r="F112">
        <v>27475</v>
      </c>
      <c r="G112" s="15">
        <f>(Table1[[#This Row],[Employed]]/Table1[[#This Row],[Population +15]])*100</f>
        <v>24.363965274144491</v>
      </c>
      <c r="H112">
        <v>6224</v>
      </c>
      <c r="I112">
        <f>Table1[[#This Row],[Unemployed]]+Table1[[#This Row],[Employed]]</f>
        <v>33699</v>
      </c>
      <c r="J112" s="15">
        <f>(Table1[[#This Row],[Unemployed]]/Table1[[#This Row],[Labor Force]])*100</f>
        <v>18.46939078310929</v>
      </c>
      <c r="K112">
        <v>157</v>
      </c>
      <c r="L112">
        <v>54477</v>
      </c>
      <c r="M112">
        <v>2227</v>
      </c>
      <c r="N112" s="15">
        <f>Table1[[#This Row],[Num of Students]]/Table1[[#This Row],[Num of Schools ]]</f>
        <v>346.98726114649679</v>
      </c>
      <c r="O112" s="15">
        <f>Table1[[#This Row],[Number of Classes]]/Table1[[#This Row],[Num of Schools ]]</f>
        <v>14.184713375796179</v>
      </c>
      <c r="P112" s="15">
        <f>Table1[[#This Row],[Num of Students]]/Table1[[#This Row],[Number of Classes]]</f>
        <v>24.462056578356535</v>
      </c>
      <c r="Q112">
        <v>51917</v>
      </c>
      <c r="R112" s="15">
        <f>Table1[[#This Row],[Num of Students]]/Table1[[#This Row],[Population 5-19]]*100</f>
        <v>104.9309474738525</v>
      </c>
      <c r="S112" s="15">
        <f>Table1[[#This Row],[Num of Schools ]]/Table1[[#This Row],[Population 5-19]]*1000</f>
        <v>3.0240576304486004</v>
      </c>
      <c r="T112">
        <v>6900</v>
      </c>
      <c r="U112">
        <v>161402</v>
      </c>
      <c r="V112" s="15">
        <f>Table1[[#This Row],[Total Population]]/Table1[[#This Row],[Area ]]</f>
        <v>23.391594202898549</v>
      </c>
    </row>
    <row r="113" spans="1:22" x14ac:dyDescent="0.25">
      <c r="A113" s="2" t="s">
        <v>4</v>
      </c>
      <c r="B113">
        <v>2023</v>
      </c>
      <c r="C113">
        <v>4024</v>
      </c>
      <c r="D113" s="1">
        <v>349137</v>
      </c>
      <c r="E113" s="15">
        <f>(Table1[[#This Row],[establishments]]/Table1[[#This Row],[Population +15]])*1000</f>
        <v>11.525561599028462</v>
      </c>
      <c r="F113">
        <v>89478</v>
      </c>
      <c r="G113" s="15">
        <f>(Table1[[#This Row],[Employed]]/Table1[[#This Row],[Population +15]])*100</f>
        <v>25.628335008893355</v>
      </c>
      <c r="H113">
        <v>27184</v>
      </c>
      <c r="I113">
        <f>Table1[[#This Row],[Unemployed]]+Table1[[#This Row],[Employed]]</f>
        <v>116662</v>
      </c>
      <c r="J113" s="15">
        <f>(Table1[[#This Row],[Unemployed]]/Table1[[#This Row],[Labor Force]])*100</f>
        <v>23.301503488710974</v>
      </c>
      <c r="K113">
        <v>506</v>
      </c>
      <c r="L113">
        <v>155233</v>
      </c>
      <c r="M113">
        <v>6276</v>
      </c>
      <c r="N113" s="15">
        <f>Table1[[#This Row],[Num of Students]]/Table1[[#This Row],[Num of Schools ]]</f>
        <v>306.78458498023713</v>
      </c>
      <c r="O113" s="15">
        <f>Table1[[#This Row],[Number of Classes]]/Table1[[#This Row],[Num of Schools ]]</f>
        <v>12.403162055335969</v>
      </c>
      <c r="P113" s="15">
        <f>Table1[[#This Row],[Num of Students]]/Table1[[#This Row],[Number of Classes]]</f>
        <v>24.734384958572338</v>
      </c>
      <c r="Q113">
        <v>132741</v>
      </c>
      <c r="R113" s="15">
        <f>Table1[[#This Row],[Num of Students]]/Table1[[#This Row],[Population 5-19]]*100</f>
        <v>116.9442749414273</v>
      </c>
      <c r="S113" s="15">
        <f>Table1[[#This Row],[Num of Schools ]]/Table1[[#This Row],[Population 5-19]]*1000</f>
        <v>3.8119345191011065</v>
      </c>
      <c r="T113">
        <v>1119</v>
      </c>
      <c r="U113">
        <v>474333</v>
      </c>
      <c r="V113" s="15">
        <f>Table1[[#This Row],[Total Population]]/Table1[[#This Row],[Area ]]</f>
        <v>423.89008042895443</v>
      </c>
    </row>
    <row r="114" spans="1:22" x14ac:dyDescent="0.25">
      <c r="A114" s="2" t="s">
        <v>3</v>
      </c>
      <c r="B114">
        <v>2023</v>
      </c>
      <c r="C114">
        <v>7128</v>
      </c>
      <c r="D114" s="1">
        <v>1091310</v>
      </c>
      <c r="E114" s="15">
        <f>(Table1[[#This Row],[establishments]]/Table1[[#This Row],[Population +15]])*1000</f>
        <v>6.531599637133354</v>
      </c>
      <c r="F114">
        <v>277401</v>
      </c>
      <c r="G114" s="15">
        <f>(Table1[[#This Row],[Employed]]/Table1[[#This Row],[Population +15]])*100</f>
        <v>25.419083486818593</v>
      </c>
      <c r="H114">
        <v>86442</v>
      </c>
      <c r="I114">
        <f>Table1[[#This Row],[Unemployed]]+Table1[[#This Row],[Employed]]</f>
        <v>363843</v>
      </c>
      <c r="J114" s="15">
        <f>(Table1[[#This Row],[Unemployed]]/Table1[[#This Row],[Labor Force]])*100</f>
        <v>23.75804948837823</v>
      </c>
      <c r="K114">
        <v>1404</v>
      </c>
      <c r="L114">
        <v>414602</v>
      </c>
      <c r="M114">
        <v>16577</v>
      </c>
      <c r="N114" s="15">
        <f>Table1[[#This Row],[Num of Students]]/Table1[[#This Row],[Num of Schools ]]</f>
        <v>295.3005698005698</v>
      </c>
      <c r="O114" s="15">
        <f>Table1[[#This Row],[Number of Classes]]/Table1[[#This Row],[Num of Schools ]]</f>
        <v>11.806980056980057</v>
      </c>
      <c r="P114" s="15">
        <f>Table1[[#This Row],[Num of Students]]/Table1[[#This Row],[Number of Classes]]</f>
        <v>25.010677444652227</v>
      </c>
      <c r="Q114">
        <v>530840</v>
      </c>
      <c r="R114" s="15">
        <f>Table1[[#This Row],[Num of Students]]/Table1[[#This Row],[Population 5-19]]*100</f>
        <v>78.103006555647653</v>
      </c>
      <c r="S114" s="15">
        <f>Table1[[#This Row],[Num of Schools ]]/Table1[[#This Row],[Population 5-19]]*1000</f>
        <v>2.6448647426719916</v>
      </c>
      <c r="T114">
        <v>1572</v>
      </c>
      <c r="U114">
        <v>1573420</v>
      </c>
      <c r="V114" s="15">
        <f>Table1[[#This Row],[Total Population]]/Table1[[#This Row],[Area ]]</f>
        <v>1000.9033078880407</v>
      </c>
    </row>
    <row r="115" spans="1:22" x14ac:dyDescent="0.25">
      <c r="A115" s="2" t="s">
        <v>10</v>
      </c>
      <c r="B115">
        <v>2023</v>
      </c>
      <c r="C115">
        <v>1206</v>
      </c>
      <c r="D115" s="1">
        <v>139228</v>
      </c>
      <c r="E115" s="15">
        <f>(Table1[[#This Row],[establishments]]/Table1[[#This Row],[Population +15]])*1000</f>
        <v>8.6620507369207331</v>
      </c>
      <c r="F115">
        <v>39827</v>
      </c>
      <c r="G115" s="15">
        <f>(Table1[[#This Row],[Employed]]/Table1[[#This Row],[Population +15]])*100</f>
        <v>28.605596575401499</v>
      </c>
      <c r="H115">
        <v>11285</v>
      </c>
      <c r="I115">
        <f>Table1[[#This Row],[Unemployed]]+Table1[[#This Row],[Employed]]</f>
        <v>51112</v>
      </c>
      <c r="J115" s="15">
        <f>(Table1[[#This Row],[Unemployed]]/Table1[[#This Row],[Labor Force]])*100</f>
        <v>22.078963844107058</v>
      </c>
      <c r="K115">
        <v>282</v>
      </c>
      <c r="L115">
        <v>69322</v>
      </c>
      <c r="M115">
        <v>2915</v>
      </c>
      <c r="N115" s="15">
        <f>Table1[[#This Row],[Num of Students]]/Table1[[#This Row],[Num of Schools ]]</f>
        <v>245.82269503546098</v>
      </c>
      <c r="O115" s="15">
        <f>Table1[[#This Row],[Number of Classes]]/Table1[[#This Row],[Num of Schools ]]</f>
        <v>10.336879432624114</v>
      </c>
      <c r="P115" s="15">
        <f>Table1[[#This Row],[Num of Students]]/Table1[[#This Row],[Number of Classes]]</f>
        <v>23.781132075471699</v>
      </c>
      <c r="Q115">
        <v>67767</v>
      </c>
      <c r="R115" s="15">
        <f>Table1[[#This Row],[Num of Students]]/Table1[[#This Row],[Population 5-19]]*100</f>
        <v>102.29462717842017</v>
      </c>
      <c r="S115" s="15">
        <f>Table1[[#This Row],[Num of Schools ]]/Table1[[#This Row],[Population 5-19]]*1000</f>
        <v>4.1613174553986454</v>
      </c>
      <c r="T115">
        <v>410</v>
      </c>
      <c r="U115">
        <v>200450</v>
      </c>
      <c r="V115" s="15">
        <f>Table1[[#This Row],[Total Population]]/Table1[[#This Row],[Area ]]</f>
        <v>488.90243902439022</v>
      </c>
    </row>
    <row r="116" spans="1:22" x14ac:dyDescent="0.25">
      <c r="A116" s="2" t="s">
        <v>8</v>
      </c>
      <c r="B116">
        <v>2023</v>
      </c>
      <c r="C116">
        <v>1872</v>
      </c>
      <c r="D116" s="1">
        <v>233741</v>
      </c>
      <c r="E116" s="15">
        <f>(Table1[[#This Row],[establishments]]/Table1[[#This Row],[Population +15]])*1000</f>
        <v>8.0088645124304261</v>
      </c>
      <c r="F116">
        <v>70054</v>
      </c>
      <c r="G116" s="15">
        <f>(Table1[[#This Row],[Employed]]/Table1[[#This Row],[Population +15]])*100</f>
        <v>29.970779623600478</v>
      </c>
      <c r="H116">
        <v>18328</v>
      </c>
      <c r="I116">
        <f>Table1[[#This Row],[Unemployed]]+Table1[[#This Row],[Employed]]</f>
        <v>88382</v>
      </c>
      <c r="J116" s="15">
        <f>(Table1[[#This Row],[Unemployed]]/Table1[[#This Row],[Labor Force]])*100</f>
        <v>20.737254192030051</v>
      </c>
      <c r="K116">
        <v>403</v>
      </c>
      <c r="L116">
        <v>89732</v>
      </c>
      <c r="M116">
        <v>4294</v>
      </c>
      <c r="N116" s="15">
        <f>Table1[[#This Row],[Num of Students]]/Table1[[#This Row],[Num of Schools ]]</f>
        <v>222.66004962779155</v>
      </c>
      <c r="O116" s="15">
        <f>Table1[[#This Row],[Number of Classes]]/Table1[[#This Row],[Num of Schools ]]</f>
        <v>10.655086848635236</v>
      </c>
      <c r="P116" s="15">
        <f>Table1[[#This Row],[Num of Students]]/Table1[[#This Row],[Number of Classes]]</f>
        <v>20.897065673032138</v>
      </c>
      <c r="Q116">
        <v>98659</v>
      </c>
      <c r="R116" s="15">
        <f>Table1[[#This Row],[Num of Students]]/Table1[[#This Row],[Population 5-19]]*100</f>
        <v>90.951661784530557</v>
      </c>
      <c r="S116" s="15">
        <f>Table1[[#This Row],[Num of Schools ]]/Table1[[#This Row],[Population 5-19]]*1000</f>
        <v>4.0847768576612369</v>
      </c>
      <c r="T116">
        <v>3495</v>
      </c>
      <c r="U116">
        <v>325577</v>
      </c>
      <c r="V116" s="15">
        <f>Table1[[#This Row],[Total Population]]/Table1[[#This Row],[Area ]]</f>
        <v>93.155078683834049</v>
      </c>
    </row>
    <row r="117" spans="1:22" x14ac:dyDescent="0.25">
      <c r="A117" s="2" t="s">
        <v>14</v>
      </c>
      <c r="B117">
        <v>2023</v>
      </c>
      <c r="C117">
        <v>1253</v>
      </c>
      <c r="D117" s="1">
        <v>117350</v>
      </c>
      <c r="E117" s="15">
        <f>(Table1[[#This Row],[establishments]]/Table1[[#This Row],[Population +15]])*1000</f>
        <v>10.67746058798466</v>
      </c>
      <c r="F117">
        <v>32951</v>
      </c>
      <c r="G117" s="15">
        <f>(Table1[[#This Row],[Employed]]/Table1[[#This Row],[Population +15]])*100</f>
        <v>28.079250106518959</v>
      </c>
      <c r="H117">
        <v>10111</v>
      </c>
      <c r="I117">
        <f>Table1[[#This Row],[Unemployed]]+Table1[[#This Row],[Employed]]</f>
        <v>43062</v>
      </c>
      <c r="J117" s="15">
        <f>(Table1[[#This Row],[Unemployed]]/Table1[[#This Row],[Labor Force]])*100</f>
        <v>23.480098462681713</v>
      </c>
      <c r="K117">
        <v>236</v>
      </c>
      <c r="L117">
        <v>46619</v>
      </c>
      <c r="M117">
        <v>2479</v>
      </c>
      <c r="N117" s="15">
        <f>Table1[[#This Row],[Num of Students]]/Table1[[#This Row],[Num of Schools ]]</f>
        <v>197.53813559322035</v>
      </c>
      <c r="O117" s="15">
        <f>Table1[[#This Row],[Number of Classes]]/Table1[[#This Row],[Num of Schools ]]</f>
        <v>10.504237288135593</v>
      </c>
      <c r="P117" s="15">
        <f>Table1[[#This Row],[Num of Students]]/Table1[[#This Row],[Number of Classes]]</f>
        <v>18.80556676079064</v>
      </c>
      <c r="Q117">
        <v>51710</v>
      </c>
      <c r="R117" s="15">
        <f>Table1[[#This Row],[Num of Students]]/Table1[[#This Row],[Population 5-19]]*100</f>
        <v>90.154708953780698</v>
      </c>
      <c r="S117" s="15">
        <f>Table1[[#This Row],[Num of Schools ]]/Table1[[#This Row],[Population 5-19]]*1000</f>
        <v>4.5639141365306521</v>
      </c>
      <c r="T117">
        <v>32832</v>
      </c>
      <c r="U117">
        <v>167725</v>
      </c>
      <c r="V117" s="15">
        <f>Table1[[#This Row],[Total Population]]/Table1[[#This Row],[Area ]]</f>
        <v>5.108583089668616</v>
      </c>
    </row>
    <row r="118" spans="1:22" x14ac:dyDescent="0.25">
      <c r="A118" s="2" t="s">
        <v>13</v>
      </c>
      <c r="B118">
        <v>2023</v>
      </c>
      <c r="C118">
        <v>1511</v>
      </c>
      <c r="D118" s="1">
        <v>134589</v>
      </c>
      <c r="E118" s="15">
        <f>(Table1[[#This Row],[establishments]]/Table1[[#This Row],[Population +15]])*1000</f>
        <v>11.226771875859097</v>
      </c>
      <c r="F118">
        <v>36916</v>
      </c>
      <c r="G118" s="15">
        <f>(Table1[[#This Row],[Employed]]/Table1[[#This Row],[Population +15]])*100</f>
        <v>27.428690309014854</v>
      </c>
      <c r="H118">
        <v>9844</v>
      </c>
      <c r="I118">
        <f>Table1[[#This Row],[Unemployed]]+Table1[[#This Row],[Employed]]</f>
        <v>46760</v>
      </c>
      <c r="J118" s="15">
        <f>(Table1[[#This Row],[Unemployed]]/Table1[[#This Row],[Labor Force]])*100</f>
        <v>21.052181351582551</v>
      </c>
      <c r="K118">
        <v>244</v>
      </c>
      <c r="L118">
        <v>61230</v>
      </c>
      <c r="M118">
        <v>2758</v>
      </c>
      <c r="N118" s="15">
        <f>Table1[[#This Row],[Num of Students]]/Table1[[#This Row],[Num of Schools ]]</f>
        <v>250.94262295081967</v>
      </c>
      <c r="O118" s="15">
        <f>Table1[[#This Row],[Number of Classes]]/Table1[[#This Row],[Num of Schools ]]</f>
        <v>11.303278688524591</v>
      </c>
      <c r="P118" s="15">
        <f>Table1[[#This Row],[Num of Students]]/Table1[[#This Row],[Number of Classes]]</f>
        <v>22.200870195794053</v>
      </c>
      <c r="Q118">
        <v>53907</v>
      </c>
      <c r="R118" s="15">
        <f>Table1[[#This Row],[Num of Students]]/Table1[[#This Row],[Population 5-19]]*100</f>
        <v>113.58450665034225</v>
      </c>
      <c r="S118" s="15">
        <f>Table1[[#This Row],[Num of Schools ]]/Table1[[#This Row],[Population 5-19]]*1000</f>
        <v>4.5263138367929958</v>
      </c>
      <c r="T118">
        <v>940</v>
      </c>
      <c r="U118">
        <v>187360</v>
      </c>
      <c r="V118" s="15">
        <f>Table1[[#This Row],[Total Population]]/Table1[[#This Row],[Area ]]</f>
        <v>199.31914893617022</v>
      </c>
    </row>
    <row r="119" spans="1:22" x14ac:dyDescent="0.25">
      <c r="A119" s="2" t="s">
        <v>9</v>
      </c>
      <c r="B119">
        <v>2023</v>
      </c>
      <c r="C119">
        <v>1955</v>
      </c>
      <c r="D119" s="1">
        <v>248389</v>
      </c>
      <c r="E119" s="15">
        <f>(Table1[[#This Row],[establishments]]/Table1[[#This Row],[Population +15]])*1000</f>
        <v>7.8707189126732677</v>
      </c>
      <c r="F119">
        <v>67091</v>
      </c>
      <c r="G119" s="15">
        <f>(Table1[[#This Row],[Employed]]/Table1[[#This Row],[Population +15]])*100</f>
        <v>27.010455374432844</v>
      </c>
      <c r="H119">
        <v>21541</v>
      </c>
      <c r="I119">
        <f>Table1[[#This Row],[Unemployed]]+Table1[[#This Row],[Employed]]</f>
        <v>88632</v>
      </c>
      <c r="J119" s="15">
        <f>(Table1[[#This Row],[Unemployed]]/Table1[[#This Row],[Labor Force]])*100</f>
        <v>24.303863164545536</v>
      </c>
      <c r="K119">
        <v>676</v>
      </c>
      <c r="L119">
        <v>159563</v>
      </c>
      <c r="M119">
        <v>7355</v>
      </c>
      <c r="N119" s="15">
        <f>Table1[[#This Row],[Num of Students]]/Table1[[#This Row],[Num of Schools ]]</f>
        <v>236.03994082840237</v>
      </c>
      <c r="O119" s="15">
        <f>Table1[[#This Row],[Number of Classes]]/Table1[[#This Row],[Num of Schools ]]</f>
        <v>10.8801775147929</v>
      </c>
      <c r="P119" s="15">
        <f>Table1[[#This Row],[Num of Students]]/Table1[[#This Row],[Number of Classes]]</f>
        <v>21.694493541808292</v>
      </c>
      <c r="Q119">
        <v>135008</v>
      </c>
      <c r="R119" s="15">
        <f>Table1[[#This Row],[Num of Students]]/Table1[[#This Row],[Population 5-19]]*100</f>
        <v>118.187811092676</v>
      </c>
      <c r="S119" s="15">
        <f>Table1[[#This Row],[Num of Schools ]]/Table1[[#This Row],[Population 5-19]]*1000</f>
        <v>5.007110689736904</v>
      </c>
      <c r="T119">
        <v>26541</v>
      </c>
      <c r="U119">
        <v>375385</v>
      </c>
      <c r="V119" s="15">
        <f>Table1[[#This Row],[Total Population]]/Table1[[#This Row],[Area ]]</f>
        <v>14.143589163935044</v>
      </c>
    </row>
    <row r="120" spans="1:22" x14ac:dyDescent="0.25">
      <c r="A120" s="2" t="s">
        <v>6</v>
      </c>
      <c r="B120">
        <v>2023</v>
      </c>
      <c r="C120">
        <v>652</v>
      </c>
      <c r="D120" s="1">
        <v>75323</v>
      </c>
      <c r="E120" s="15">
        <f>(Table1[[#This Row],[establishments]]/Table1[[#This Row],[Population +15]])*1000</f>
        <v>8.6560545915590179</v>
      </c>
      <c r="F120">
        <v>21173</v>
      </c>
      <c r="G120" s="15">
        <f>(Table1[[#This Row],[Employed]]/Table1[[#This Row],[Population +15]])*100</f>
        <v>28.109607955073486</v>
      </c>
      <c r="H120">
        <v>6441</v>
      </c>
      <c r="I120">
        <f>Table1[[#This Row],[Unemployed]]+Table1[[#This Row],[Employed]]</f>
        <v>27614</v>
      </c>
      <c r="J120" s="15">
        <f>(Table1[[#This Row],[Unemployed]]/Table1[[#This Row],[Labor Force]])*100</f>
        <v>23.325124936626349</v>
      </c>
      <c r="K120">
        <v>149</v>
      </c>
      <c r="L120">
        <v>31896</v>
      </c>
      <c r="M120">
        <v>1473</v>
      </c>
      <c r="N120" s="15">
        <f>Table1[[#This Row],[Num of Students]]/Table1[[#This Row],[Num of Schools ]]</f>
        <v>214.06711409395973</v>
      </c>
      <c r="O120" s="15">
        <f>Table1[[#This Row],[Number of Classes]]/Table1[[#This Row],[Num of Schools ]]</f>
        <v>9.8859060402684555</v>
      </c>
      <c r="P120" s="15">
        <f>Table1[[#This Row],[Num of Students]]/Table1[[#This Row],[Number of Classes]]</f>
        <v>21.653767820773929</v>
      </c>
      <c r="Q120">
        <v>34747</v>
      </c>
      <c r="R120" s="15">
        <f>Table1[[#This Row],[Num of Students]]/Table1[[#This Row],[Population 5-19]]*100</f>
        <v>91.794975105764536</v>
      </c>
      <c r="S120" s="15">
        <f>Table1[[#This Row],[Num of Schools ]]/Table1[[#This Row],[Population 5-19]]*1000</f>
        <v>4.2881399833079117</v>
      </c>
      <c r="T120">
        <v>2209</v>
      </c>
      <c r="U120">
        <v>107710</v>
      </c>
      <c r="V120" s="15">
        <f>Table1[[#This Row],[Total Population]]/Table1[[#This Row],[Area ]]</f>
        <v>48.759619737437752</v>
      </c>
    </row>
    <row r="121" spans="1:22" x14ac:dyDescent="0.25">
      <c r="A121" s="2" t="s">
        <v>5</v>
      </c>
      <c r="B121">
        <v>2023</v>
      </c>
      <c r="C121">
        <v>5601</v>
      </c>
      <c r="D121" s="1">
        <v>800703</v>
      </c>
      <c r="E121" s="15">
        <f>(Table1[[#This Row],[establishments]]/Table1[[#This Row],[Population +15]])*1000</f>
        <v>6.9951030531920075</v>
      </c>
      <c r="F121">
        <v>192343</v>
      </c>
      <c r="G121" s="15">
        <f>(Table1[[#This Row],[Employed]]/Table1[[#This Row],[Population +15]])*100</f>
        <v>24.021765873238891</v>
      </c>
      <c r="H121">
        <v>51362</v>
      </c>
      <c r="I121">
        <f>Table1[[#This Row],[Unemployed]]+Table1[[#This Row],[Employed]]</f>
        <v>243705</v>
      </c>
      <c r="J121" s="15">
        <f>(Table1[[#This Row],[Unemployed]]/Table1[[#This Row],[Labor Force]])*100</f>
        <v>21.075480601546953</v>
      </c>
      <c r="K121">
        <v>820</v>
      </c>
      <c r="L121">
        <v>309830</v>
      </c>
      <c r="M121">
        <v>11039</v>
      </c>
      <c r="N121" s="15">
        <f>Table1[[#This Row],[Num of Students]]/Table1[[#This Row],[Num of Schools ]]</f>
        <v>377.84146341463412</v>
      </c>
      <c r="O121" s="15">
        <f>Table1[[#This Row],[Number of Classes]]/Table1[[#This Row],[Num of Schools ]]</f>
        <v>13.46219512195122</v>
      </c>
      <c r="P121" s="15">
        <f>Table1[[#This Row],[Num of Students]]/Table1[[#This Row],[Number of Classes]]</f>
        <v>28.066853881692182</v>
      </c>
      <c r="Q121">
        <v>337874</v>
      </c>
      <c r="R121" s="15">
        <f>Table1[[#This Row],[Num of Students]]/Table1[[#This Row],[Population 5-19]]*100</f>
        <v>91.69986444650965</v>
      </c>
      <c r="S121" s="15">
        <f>Table1[[#This Row],[Num of Schools ]]/Table1[[#This Row],[Population 5-19]]*1000</f>
        <v>2.4269402203188171</v>
      </c>
      <c r="T121">
        <v>4761</v>
      </c>
      <c r="U121">
        <v>1103745</v>
      </c>
      <c r="V121" s="15">
        <f>Table1[[#This Row],[Total Population]]/Table1[[#This Row],[Area ]]</f>
        <v>231.83049779458096</v>
      </c>
    </row>
    <row r="122" spans="1:22" x14ac:dyDescent="0.25">
      <c r="A122" s="2" t="s">
        <v>11</v>
      </c>
      <c r="B122">
        <v>2024</v>
      </c>
      <c r="C122">
        <v>899</v>
      </c>
      <c r="D122" s="1">
        <v>133203</v>
      </c>
      <c r="E122" s="15">
        <f>(Table1[[#This Row],[establishments]]/Table1[[#This Row],[Population +15]])*1000</f>
        <v>6.7490972425545968</v>
      </c>
      <c r="F122">
        <v>34716</v>
      </c>
      <c r="G122" s="15">
        <f>(Table1[[#This Row],[Employed]]/Table1[[#This Row],[Population +15]])*100</f>
        <v>26.062476070358777</v>
      </c>
      <c r="H122">
        <v>9332</v>
      </c>
      <c r="I122">
        <f>Table1[[#This Row],[Unemployed]]+Table1[[#This Row],[Employed]]</f>
        <v>44048</v>
      </c>
      <c r="J122" s="15">
        <f>(Table1[[#This Row],[Unemployed]]/Table1[[#This Row],[Labor Force]])*100</f>
        <v>21.1859789320741</v>
      </c>
      <c r="K122">
        <v>232</v>
      </c>
      <c r="L122">
        <v>51677</v>
      </c>
      <c r="M122">
        <v>2406</v>
      </c>
      <c r="N122" s="15">
        <f>Table1[[#This Row],[Num of Students]]/Table1[[#This Row],[Num of Schools ]]</f>
        <v>222.74568965517241</v>
      </c>
      <c r="O122" s="15">
        <f>Table1[[#This Row],[Number of Classes]]/Table1[[#This Row],[Num of Schools ]]</f>
        <v>10.370689655172415</v>
      </c>
      <c r="P122" s="15">
        <f>Table1[[#This Row],[Num of Students]]/Table1[[#This Row],[Number of Classes]]</f>
        <v>21.47838736492103</v>
      </c>
      <c r="Q122">
        <v>64529</v>
      </c>
      <c r="R122" s="15">
        <f>Table1[[#This Row],[Num of Students]]/Table1[[#This Row],[Population 5-19]]*100</f>
        <v>80.08337336701328</v>
      </c>
      <c r="S122" s="15">
        <f>Table1[[#This Row],[Num of Schools ]]/Table1[[#This Row],[Population 5-19]]*1000</f>
        <v>3.5952827410931523</v>
      </c>
      <c r="T122">
        <v>420</v>
      </c>
      <c r="U122">
        <v>191983</v>
      </c>
      <c r="V122" s="15">
        <f>Table1[[#This Row],[Total Population]]/Table1[[#This Row],[Area ]]</f>
        <v>457.10238095238094</v>
      </c>
    </row>
    <row r="123" spans="1:22" x14ac:dyDescent="0.25">
      <c r="A123" s="2" t="s">
        <v>12</v>
      </c>
      <c r="B123">
        <v>2024</v>
      </c>
      <c r="C123">
        <v>42368</v>
      </c>
      <c r="D123" s="1">
        <v>2354006</v>
      </c>
      <c r="E123" s="15">
        <f>(Table1[[#This Row],[establishments]]/Table1[[#This Row],[Population +15]])*1000</f>
        <v>17.998254889749642</v>
      </c>
      <c r="F123">
        <v>651744</v>
      </c>
      <c r="G123" s="15">
        <f>(Table1[[#This Row],[Employed]]/Table1[[#This Row],[Population +15]])*100</f>
        <v>27.686590433499319</v>
      </c>
      <c r="H123">
        <v>169921</v>
      </c>
      <c r="I123">
        <f>Table1[[#This Row],[Unemployed]]+Table1[[#This Row],[Employed]]</f>
        <v>821665</v>
      </c>
      <c r="J123" s="15">
        <f>(Table1[[#This Row],[Unemployed]]/Table1[[#This Row],[Labor Force]])*100</f>
        <v>20.680082515380356</v>
      </c>
      <c r="K123">
        <v>2414</v>
      </c>
      <c r="L123">
        <v>844395</v>
      </c>
      <c r="M123">
        <v>33176</v>
      </c>
      <c r="N123" s="15">
        <f>Table1[[#This Row],[Num of Students]]/Table1[[#This Row],[Num of Schools ]]</f>
        <v>349.79080364540181</v>
      </c>
      <c r="O123" s="15">
        <f>Table1[[#This Row],[Number of Classes]]/Table1[[#This Row],[Num of Schools ]]</f>
        <v>13.743164871582437</v>
      </c>
      <c r="P123" s="15">
        <f>Table1[[#This Row],[Num of Students]]/Table1[[#This Row],[Number of Classes]]</f>
        <v>25.45198336146612</v>
      </c>
      <c r="Q123">
        <v>870726</v>
      </c>
      <c r="R123" s="15">
        <f>Table1[[#This Row],[Num of Students]]/Table1[[#This Row],[Population 5-19]]*100</f>
        <v>96.975971775277188</v>
      </c>
      <c r="S123" s="15">
        <f>Table1[[#This Row],[Num of Schools ]]/Table1[[#This Row],[Population 5-19]]*1000</f>
        <v>2.7723991244088264</v>
      </c>
      <c r="T123">
        <v>7579</v>
      </c>
      <c r="U123">
        <v>3121178</v>
      </c>
      <c r="V123" s="15">
        <f>Table1[[#This Row],[Total Population]]/Table1[[#This Row],[Area ]]</f>
        <v>411.81923736640715</v>
      </c>
    </row>
    <row r="124" spans="1:22" x14ac:dyDescent="0.25">
      <c r="A124" s="2" t="s">
        <v>7</v>
      </c>
      <c r="B124">
        <v>2024</v>
      </c>
      <c r="C124">
        <v>1694</v>
      </c>
      <c r="D124" s="1">
        <v>114805</v>
      </c>
      <c r="E124" s="15">
        <f>(Table1[[#This Row],[establishments]]/Table1[[#This Row],[Population +15]])*1000</f>
        <v>14.755454901789991</v>
      </c>
      <c r="F124">
        <v>27351</v>
      </c>
      <c r="G124" s="15">
        <f>(Table1[[#This Row],[Employed]]/Table1[[#This Row],[Population +15]])*100</f>
        <v>23.823875266756676</v>
      </c>
      <c r="H124">
        <v>5742</v>
      </c>
      <c r="I124">
        <f>Table1[[#This Row],[Unemployed]]+Table1[[#This Row],[Employed]]</f>
        <v>33093</v>
      </c>
      <c r="J124" s="15">
        <f>(Table1[[#This Row],[Unemployed]]/Table1[[#This Row],[Labor Force]])*100</f>
        <v>17.351101441392437</v>
      </c>
      <c r="K124">
        <v>164</v>
      </c>
      <c r="L124">
        <v>55454</v>
      </c>
      <c r="M124">
        <v>2250</v>
      </c>
      <c r="N124" s="15">
        <f>Table1[[#This Row],[Num of Students]]/Table1[[#This Row],[Num of Schools ]]</f>
        <v>338.13414634146341</v>
      </c>
      <c r="O124" s="15">
        <f>Table1[[#This Row],[Number of Classes]]/Table1[[#This Row],[Num of Schools ]]</f>
        <v>13.719512195121951</v>
      </c>
      <c r="P124" s="15">
        <f>Table1[[#This Row],[Num of Students]]/Table1[[#This Row],[Number of Classes]]</f>
        <v>24.646222222222221</v>
      </c>
      <c r="Q124">
        <v>54166</v>
      </c>
      <c r="R124" s="15">
        <f>Table1[[#This Row],[Num of Students]]/Table1[[#This Row],[Population 5-19]]*100</f>
        <v>102.37787542000515</v>
      </c>
      <c r="S124" s="15">
        <f>Table1[[#This Row],[Num of Schools ]]/Table1[[#This Row],[Population 5-19]]*1000</f>
        <v>3.0277295720562716</v>
      </c>
      <c r="T124">
        <v>6900</v>
      </c>
      <c r="U124">
        <v>164995</v>
      </c>
      <c r="V124" s="15">
        <f>Table1[[#This Row],[Total Population]]/Table1[[#This Row],[Area ]]</f>
        <v>23.912318840579712</v>
      </c>
    </row>
    <row r="125" spans="1:22" x14ac:dyDescent="0.25">
      <c r="A125" s="2" t="s">
        <v>4</v>
      </c>
      <c r="B125">
        <v>2024</v>
      </c>
      <c r="C125">
        <v>3954</v>
      </c>
      <c r="D125" s="1">
        <v>357866</v>
      </c>
      <c r="E125" s="15">
        <f>(Table1[[#This Row],[establishments]]/Table1[[#This Row],[Population +15]])*1000</f>
        <v>11.048828332392572</v>
      </c>
      <c r="F125">
        <v>94185</v>
      </c>
      <c r="G125" s="15">
        <f>(Table1[[#This Row],[Employed]]/Table1[[#This Row],[Population +15]])*100</f>
        <v>26.318510280384277</v>
      </c>
      <c r="H125">
        <v>26699</v>
      </c>
      <c r="I125">
        <f>Table1[[#This Row],[Unemployed]]+Table1[[#This Row],[Employed]]</f>
        <v>120884</v>
      </c>
      <c r="J125" s="15">
        <f>(Table1[[#This Row],[Unemployed]]/Table1[[#This Row],[Labor Force]])*100</f>
        <v>22.086463055491215</v>
      </c>
      <c r="K125">
        <v>497</v>
      </c>
      <c r="L125">
        <v>155065</v>
      </c>
      <c r="M125">
        <v>6185</v>
      </c>
      <c r="N125" s="15">
        <f>Table1[[#This Row],[Num of Students]]/Table1[[#This Row],[Num of Schools ]]</f>
        <v>312.00201207243458</v>
      </c>
      <c r="O125" s="15">
        <f>Table1[[#This Row],[Number of Classes]]/Table1[[#This Row],[Num of Schools ]]</f>
        <v>12.444668008048289</v>
      </c>
      <c r="P125" s="15">
        <f>Table1[[#This Row],[Num of Students]]/Table1[[#This Row],[Number of Classes]]</f>
        <v>25.07113985448666</v>
      </c>
      <c r="Q125">
        <v>142986</v>
      </c>
      <c r="R125" s="15">
        <f>Table1[[#This Row],[Num of Students]]/Table1[[#This Row],[Population 5-19]]*100</f>
        <v>108.44768019246641</v>
      </c>
      <c r="S125" s="15">
        <f>Table1[[#This Row],[Num of Schools ]]/Table1[[#This Row],[Population 5-19]]*1000</f>
        <v>3.4758647699774801</v>
      </c>
      <c r="T125">
        <v>1119</v>
      </c>
      <c r="U125">
        <v>484893</v>
      </c>
      <c r="V125" s="15">
        <f>Table1[[#This Row],[Total Population]]/Table1[[#This Row],[Area ]]</f>
        <v>433.32707774798928</v>
      </c>
    </row>
    <row r="126" spans="1:22" x14ac:dyDescent="0.25">
      <c r="A126" s="2" t="s">
        <v>3</v>
      </c>
      <c r="B126">
        <v>2024</v>
      </c>
      <c r="C126">
        <v>7234</v>
      </c>
      <c r="D126" s="1">
        <v>1127122</v>
      </c>
      <c r="E126" s="15">
        <f>(Table1[[#This Row],[establishments]]/Table1[[#This Row],[Population +15]])*1000</f>
        <v>6.4181162287667171</v>
      </c>
      <c r="F126">
        <v>293202</v>
      </c>
      <c r="G126" s="15">
        <f>(Table1[[#This Row],[Employed]]/Table1[[#This Row],[Population +15]])*100</f>
        <v>26.013333073083484</v>
      </c>
      <c r="H126">
        <v>83772</v>
      </c>
      <c r="I126">
        <f>Table1[[#This Row],[Unemployed]]+Table1[[#This Row],[Employed]]</f>
        <v>376974</v>
      </c>
      <c r="J126" s="15">
        <f>(Table1[[#This Row],[Unemployed]]/Table1[[#This Row],[Labor Force]])*100</f>
        <v>22.222222222222221</v>
      </c>
      <c r="K126">
        <v>1448</v>
      </c>
      <c r="L126">
        <v>155065</v>
      </c>
      <c r="M126">
        <v>16643</v>
      </c>
      <c r="N126" s="15">
        <f>Table1[[#This Row],[Num of Students]]/Table1[[#This Row],[Num of Schools ]]</f>
        <v>107.08908839779005</v>
      </c>
      <c r="O126" s="15">
        <f>Table1[[#This Row],[Number of Classes]]/Table1[[#This Row],[Num of Schools ]]</f>
        <v>11.493784530386741</v>
      </c>
      <c r="P126" s="15">
        <f>Table1[[#This Row],[Num of Students]]/Table1[[#This Row],[Number of Classes]]</f>
        <v>9.3171303250615871</v>
      </c>
      <c r="Q126">
        <v>532178</v>
      </c>
      <c r="R126" s="15">
        <f>Table1[[#This Row],[Num of Students]]/Table1[[#This Row],[Population 5-19]]*100</f>
        <v>29.137807275009493</v>
      </c>
      <c r="S126" s="15">
        <f>Table1[[#This Row],[Num of Schools ]]/Table1[[#This Row],[Population 5-19]]*1000</f>
        <v>2.720894136924112</v>
      </c>
      <c r="T126">
        <v>1572</v>
      </c>
      <c r="U126">
        <v>1609121</v>
      </c>
      <c r="V126" s="15">
        <f>Table1[[#This Row],[Total Population]]/Table1[[#This Row],[Area ]]</f>
        <v>1023.6138676844784</v>
      </c>
    </row>
    <row r="127" spans="1:22" x14ac:dyDescent="0.25">
      <c r="A127" s="2" t="s">
        <v>10</v>
      </c>
      <c r="B127">
        <v>2024</v>
      </c>
      <c r="C127">
        <v>1196</v>
      </c>
      <c r="D127" s="1">
        <v>142526</v>
      </c>
      <c r="E127" s="15">
        <f>(Table1[[#This Row],[establishments]]/Table1[[#This Row],[Population +15]])*1000</f>
        <v>8.3914513843088265</v>
      </c>
      <c r="F127">
        <v>40214</v>
      </c>
      <c r="G127" s="15">
        <f>(Table1[[#This Row],[Employed]]/Table1[[#This Row],[Population +15]])*100</f>
        <v>28.215202840183544</v>
      </c>
      <c r="H127">
        <v>10627</v>
      </c>
      <c r="I127">
        <f>Table1[[#This Row],[Unemployed]]+Table1[[#This Row],[Employed]]</f>
        <v>50841</v>
      </c>
      <c r="J127" s="15">
        <f>(Table1[[#This Row],[Unemployed]]/Table1[[#This Row],[Labor Force]])*100</f>
        <v>20.902421274168486</v>
      </c>
      <c r="K127">
        <v>291</v>
      </c>
      <c r="L127">
        <v>71045</v>
      </c>
      <c r="M127">
        <v>2905</v>
      </c>
      <c r="N127" s="15">
        <f>Table1[[#This Row],[Num of Students]]/Table1[[#This Row],[Num of Schools ]]</f>
        <v>244.14089347079039</v>
      </c>
      <c r="O127" s="15">
        <f>Table1[[#This Row],[Number of Classes]]/Table1[[#This Row],[Num of Schools ]]</f>
        <v>9.9828178694158076</v>
      </c>
      <c r="P127" s="15">
        <f>Table1[[#This Row],[Num of Students]]/Table1[[#This Row],[Number of Classes]]</f>
        <v>24.456110154905335</v>
      </c>
      <c r="Q127">
        <v>66590</v>
      </c>
      <c r="R127" s="15">
        <f>Table1[[#This Row],[Num of Students]]/Table1[[#This Row],[Population 5-19]]*100</f>
        <v>106.69019372278119</v>
      </c>
      <c r="S127" s="15">
        <f>Table1[[#This Row],[Num of Schools ]]/Table1[[#This Row],[Population 5-19]]*1000</f>
        <v>4.3700255293587622</v>
      </c>
      <c r="T127">
        <v>410</v>
      </c>
      <c r="U127">
        <v>204912</v>
      </c>
      <c r="V127" s="15">
        <f>Table1[[#This Row],[Total Population]]/Table1[[#This Row],[Area ]]</f>
        <v>499.78536585365856</v>
      </c>
    </row>
    <row r="128" spans="1:22" x14ac:dyDescent="0.25">
      <c r="A128" s="2" t="s">
        <v>8</v>
      </c>
      <c r="B128">
        <v>2024</v>
      </c>
      <c r="C128">
        <v>1931</v>
      </c>
      <c r="D128" s="1">
        <v>236199</v>
      </c>
      <c r="E128" s="15">
        <f>(Table1[[#This Row],[establishments]]/Table1[[#This Row],[Population +15]])*1000</f>
        <v>8.175309802327698</v>
      </c>
      <c r="F128">
        <v>71494</v>
      </c>
      <c r="G128" s="15">
        <f>(Table1[[#This Row],[Employed]]/Table1[[#This Row],[Population +15]])*100</f>
        <v>30.268544744050569</v>
      </c>
      <c r="H128">
        <v>18146</v>
      </c>
      <c r="I128">
        <f>Table1[[#This Row],[Unemployed]]+Table1[[#This Row],[Employed]]</f>
        <v>89640</v>
      </c>
      <c r="J128" s="15">
        <f>(Table1[[#This Row],[Unemployed]]/Table1[[#This Row],[Labor Force]])*100</f>
        <v>20.243195002231147</v>
      </c>
      <c r="K128">
        <v>416</v>
      </c>
      <c r="L128">
        <v>90966</v>
      </c>
      <c r="M128">
        <v>4271</v>
      </c>
      <c r="N128" s="15">
        <f>Table1[[#This Row],[Num of Students]]/Table1[[#This Row],[Num of Schools ]]</f>
        <v>218.66826923076923</v>
      </c>
      <c r="O128" s="15">
        <f>Table1[[#This Row],[Number of Classes]]/Table1[[#This Row],[Num of Schools ]]</f>
        <v>10.266826923076923</v>
      </c>
      <c r="P128" s="15">
        <f>Table1[[#This Row],[Num of Students]]/Table1[[#This Row],[Number of Classes]]</f>
        <v>21.298524935612267</v>
      </c>
      <c r="Q128">
        <v>104452</v>
      </c>
      <c r="R128" s="15">
        <f>Table1[[#This Row],[Num of Students]]/Table1[[#This Row],[Population 5-19]]*100</f>
        <v>87.088806341668899</v>
      </c>
      <c r="S128" s="15">
        <f>Table1[[#This Row],[Num of Schools ]]/Table1[[#This Row],[Population 5-19]]*1000</f>
        <v>3.9826906138704863</v>
      </c>
      <c r="T128">
        <v>3495</v>
      </c>
      <c r="U128">
        <v>332823</v>
      </c>
      <c r="V128" s="15">
        <f>Table1[[#This Row],[Total Population]]/Table1[[#This Row],[Area ]]</f>
        <v>95.228326180257511</v>
      </c>
    </row>
    <row r="129" spans="1:22" x14ac:dyDescent="0.25">
      <c r="A129" s="2" t="s">
        <v>14</v>
      </c>
      <c r="B129">
        <v>2024</v>
      </c>
      <c r="C129">
        <v>1319</v>
      </c>
      <c r="D129" s="1">
        <v>123054</v>
      </c>
      <c r="E129" s="15">
        <f>(Table1[[#This Row],[establishments]]/Table1[[#This Row],[Population +15]])*1000</f>
        <v>10.71887138979635</v>
      </c>
      <c r="F129">
        <v>32587</v>
      </c>
      <c r="G129" s="15">
        <f>(Table1[[#This Row],[Employed]]/Table1[[#This Row],[Population +15]])*100</f>
        <v>26.481869748240612</v>
      </c>
      <c r="H129">
        <v>9817</v>
      </c>
      <c r="I129">
        <f>Table1[[#This Row],[Unemployed]]+Table1[[#This Row],[Employed]]</f>
        <v>42404</v>
      </c>
      <c r="J129" s="15">
        <f>(Table1[[#This Row],[Unemployed]]/Table1[[#This Row],[Labor Force]])*100</f>
        <v>23.151117819073672</v>
      </c>
      <c r="K129">
        <v>239</v>
      </c>
      <c r="L129">
        <v>47690</v>
      </c>
      <c r="M129">
        <v>2485</v>
      </c>
      <c r="N129" s="15">
        <f>Table1[[#This Row],[Num of Students]]/Table1[[#This Row],[Num of Schools ]]</f>
        <v>199.53974895397491</v>
      </c>
      <c r="O129" s="15">
        <f>Table1[[#This Row],[Number of Classes]]/Table1[[#This Row],[Num of Schools ]]</f>
        <v>10.397489539748953</v>
      </c>
      <c r="P129" s="15">
        <f>Table1[[#This Row],[Num of Students]]/Table1[[#This Row],[Number of Classes]]</f>
        <v>19.191146881287725</v>
      </c>
      <c r="Q129">
        <v>51660</v>
      </c>
      <c r="R129" s="15">
        <f>Table1[[#This Row],[Num of Students]]/Table1[[#This Row],[Population 5-19]]*100</f>
        <v>92.315137437088651</v>
      </c>
      <c r="S129" s="15">
        <f>Table1[[#This Row],[Num of Schools ]]/Table1[[#This Row],[Population 5-19]]*1000</f>
        <v>4.6264034068912121</v>
      </c>
      <c r="T129">
        <v>32832</v>
      </c>
      <c r="U129">
        <v>171458</v>
      </c>
      <c r="V129" s="15">
        <f>Table1[[#This Row],[Total Population]]/Table1[[#This Row],[Area ]]</f>
        <v>5.2222831384015596</v>
      </c>
    </row>
    <row r="130" spans="1:22" x14ac:dyDescent="0.25">
      <c r="A130" s="2" t="s">
        <v>13</v>
      </c>
      <c r="B130">
        <v>2024</v>
      </c>
      <c r="C130">
        <v>1571</v>
      </c>
      <c r="D130" s="1">
        <v>135155</v>
      </c>
      <c r="E130" s="15">
        <f>(Table1[[#This Row],[establishments]]/Table1[[#This Row],[Population +15]])*1000</f>
        <v>11.623691317376347</v>
      </c>
      <c r="F130">
        <v>36797</v>
      </c>
      <c r="G130" s="15">
        <f>(Table1[[#This Row],[Employed]]/Table1[[#This Row],[Population +15]])*100</f>
        <v>27.225777810661832</v>
      </c>
      <c r="H130">
        <v>9475</v>
      </c>
      <c r="I130">
        <f>Table1[[#This Row],[Unemployed]]+Table1[[#This Row],[Employed]]</f>
        <v>46272</v>
      </c>
      <c r="J130" s="15">
        <f>(Table1[[#This Row],[Unemployed]]/Table1[[#This Row],[Labor Force]])*100</f>
        <v>20.476746196403873</v>
      </c>
      <c r="K130">
        <v>250</v>
      </c>
      <c r="L130">
        <v>62275</v>
      </c>
      <c r="M130">
        <v>2784</v>
      </c>
      <c r="N130" s="15">
        <f>Table1[[#This Row],[Num of Students]]/Table1[[#This Row],[Num of Schools ]]</f>
        <v>249.1</v>
      </c>
      <c r="O130" s="15">
        <f>Table1[[#This Row],[Number of Classes]]/Table1[[#This Row],[Num of Schools ]]</f>
        <v>11.135999999999999</v>
      </c>
      <c r="P130" s="15">
        <f>Table1[[#This Row],[Num of Students]]/Table1[[#This Row],[Number of Classes]]</f>
        <v>22.368893678160919</v>
      </c>
      <c r="Q130">
        <v>59773</v>
      </c>
      <c r="R130" s="15">
        <f>Table1[[#This Row],[Num of Students]]/Table1[[#This Row],[Population 5-19]]*100</f>
        <v>104.18583641443462</v>
      </c>
      <c r="S130" s="15">
        <f>Table1[[#This Row],[Num of Schools ]]/Table1[[#This Row],[Population 5-19]]*1000</f>
        <v>4.182490422096933</v>
      </c>
      <c r="T130">
        <v>940</v>
      </c>
      <c r="U130">
        <v>191530</v>
      </c>
      <c r="V130" s="15">
        <f>Table1[[#This Row],[Total Population]]/Table1[[#This Row],[Area ]]</f>
        <v>203.75531914893617</v>
      </c>
    </row>
    <row r="131" spans="1:22" x14ac:dyDescent="0.25">
      <c r="A131" s="2" t="s">
        <v>9</v>
      </c>
      <c r="B131">
        <v>2024</v>
      </c>
      <c r="C131">
        <v>1993</v>
      </c>
      <c r="D131" s="1">
        <v>259209</v>
      </c>
      <c r="E131" s="15">
        <f>(Table1[[#This Row],[establishments]]/Table1[[#This Row],[Population +15]])*1000</f>
        <v>7.6887762384793739</v>
      </c>
      <c r="F131">
        <v>70440</v>
      </c>
      <c r="G131" s="15">
        <f>(Table1[[#This Row],[Employed]]/Table1[[#This Row],[Population +15]])*100</f>
        <v>27.174982350149879</v>
      </c>
      <c r="H131">
        <v>21309</v>
      </c>
      <c r="I131">
        <f>Table1[[#This Row],[Unemployed]]+Table1[[#This Row],[Employed]]</f>
        <v>91749</v>
      </c>
      <c r="J131" s="15">
        <f>(Table1[[#This Row],[Unemployed]]/Table1[[#This Row],[Labor Force]])*100</f>
        <v>23.225321256907431</v>
      </c>
      <c r="K131">
        <v>692</v>
      </c>
      <c r="L131">
        <v>163848</v>
      </c>
      <c r="M131">
        <v>7261</v>
      </c>
      <c r="N131" s="15">
        <f>Table1[[#This Row],[Num of Students]]/Table1[[#This Row],[Num of Schools ]]</f>
        <v>236.77456647398844</v>
      </c>
      <c r="O131" s="15">
        <f>Table1[[#This Row],[Number of Classes]]/Table1[[#This Row],[Num of Schools ]]</f>
        <v>10.492774566473988</v>
      </c>
      <c r="P131" s="15">
        <f>Table1[[#This Row],[Num of Students]]/Table1[[#This Row],[Number of Classes]]</f>
        <v>22.56548684754166</v>
      </c>
      <c r="Q131">
        <v>132189</v>
      </c>
      <c r="R131" s="15">
        <f>Table1[[#This Row],[Num of Students]]/Table1[[#This Row],[Population 5-19]]*100</f>
        <v>123.94979915121532</v>
      </c>
      <c r="S131" s="15">
        <f>Table1[[#This Row],[Num of Schools ]]/Table1[[#This Row],[Population 5-19]]*1000</f>
        <v>5.234928776221925</v>
      </c>
      <c r="T131">
        <v>26541</v>
      </c>
      <c r="U131">
        <v>383740</v>
      </c>
      <c r="V131" s="15">
        <f>Table1[[#This Row],[Total Population]]/Table1[[#This Row],[Area ]]</f>
        <v>14.458385139972119</v>
      </c>
    </row>
    <row r="132" spans="1:22" x14ac:dyDescent="0.25">
      <c r="A132" s="2" t="s">
        <v>6</v>
      </c>
      <c r="B132">
        <v>2024</v>
      </c>
      <c r="C132">
        <v>672</v>
      </c>
      <c r="D132" s="1">
        <v>76000</v>
      </c>
      <c r="E132" s="15">
        <f>(Table1[[#This Row],[establishments]]/Table1[[#This Row],[Population +15]])*1000</f>
        <v>8.8421052631578938</v>
      </c>
      <c r="F132">
        <v>22233</v>
      </c>
      <c r="G132" s="15">
        <f>(Table1[[#This Row],[Employed]]/Table1[[#This Row],[Population +15]])*100</f>
        <v>29.253947368421052</v>
      </c>
      <c r="H132">
        <v>6219</v>
      </c>
      <c r="I132">
        <f>Table1[[#This Row],[Unemployed]]+Table1[[#This Row],[Employed]]</f>
        <v>28452</v>
      </c>
      <c r="J132" s="15">
        <f>(Table1[[#This Row],[Unemployed]]/Table1[[#This Row],[Labor Force]])*100</f>
        <v>21.85786587937579</v>
      </c>
      <c r="K132">
        <v>150</v>
      </c>
      <c r="L132">
        <v>32333</v>
      </c>
      <c r="M132">
        <v>1450</v>
      </c>
      <c r="N132" s="15">
        <f>Table1[[#This Row],[Num of Students]]/Table1[[#This Row],[Num of Schools ]]</f>
        <v>215.55333333333334</v>
      </c>
      <c r="O132" s="15">
        <f>Table1[[#This Row],[Number of Classes]]/Table1[[#This Row],[Num of Schools ]]</f>
        <v>9.6666666666666661</v>
      </c>
      <c r="P132" s="15">
        <f>Table1[[#This Row],[Num of Students]]/Table1[[#This Row],[Number of Classes]]</f>
        <v>22.298620689655174</v>
      </c>
      <c r="Q132">
        <v>36399</v>
      </c>
      <c r="R132" s="15">
        <f>Table1[[#This Row],[Num of Students]]/Table1[[#This Row],[Population 5-19]]*100</f>
        <v>88.829363444050657</v>
      </c>
      <c r="S132" s="15">
        <f>Table1[[#This Row],[Num of Schools ]]/Table1[[#This Row],[Population 5-19]]*1000</f>
        <v>4.1209923349542565</v>
      </c>
      <c r="T132">
        <v>2209</v>
      </c>
      <c r="U132">
        <v>110110</v>
      </c>
      <c r="V132" s="15">
        <f>Table1[[#This Row],[Total Population]]/Table1[[#This Row],[Area ]]</f>
        <v>49.846084200995925</v>
      </c>
    </row>
    <row r="133" spans="1:22" x14ac:dyDescent="0.25">
      <c r="A133" s="2" t="s">
        <v>5</v>
      </c>
      <c r="B133">
        <v>2024</v>
      </c>
      <c r="C133">
        <v>5562</v>
      </c>
      <c r="D133" s="1">
        <v>827262</v>
      </c>
      <c r="E133" s="15">
        <f>(Table1[[#This Row],[establishments]]/Table1[[#This Row],[Population +15]])*1000</f>
        <v>6.7233838856371984</v>
      </c>
      <c r="F133">
        <v>201485</v>
      </c>
      <c r="G133" s="15">
        <f>(Table1[[#This Row],[Employed]]/Table1[[#This Row],[Population +15]])*100</f>
        <v>24.355645490787683</v>
      </c>
      <c r="H133">
        <v>58622</v>
      </c>
      <c r="I133">
        <f>Table1[[#This Row],[Unemployed]]+Table1[[#This Row],[Employed]]</f>
        <v>260107</v>
      </c>
      <c r="J133" s="15">
        <f>(Table1[[#This Row],[Unemployed]]/Table1[[#This Row],[Labor Force]])*100</f>
        <v>22.537647967951653</v>
      </c>
      <c r="K133">
        <v>856</v>
      </c>
      <c r="L133">
        <v>310545</v>
      </c>
      <c r="M133">
        <v>10898</v>
      </c>
      <c r="N133" s="15">
        <f>Table1[[#This Row],[Num of Students]]/Table1[[#This Row],[Num of Schools ]]</f>
        <v>362.78621495327104</v>
      </c>
      <c r="O133" s="15">
        <f>Table1[[#This Row],[Number of Classes]]/Table1[[#This Row],[Num of Schools ]]</f>
        <v>12.731308411214954</v>
      </c>
      <c r="P133" s="15">
        <f>Table1[[#This Row],[Num of Students]]/Table1[[#This Row],[Number of Classes]]</f>
        <v>28.495595522114151</v>
      </c>
      <c r="Q133">
        <v>345482</v>
      </c>
      <c r="R133" s="15">
        <f>Table1[[#This Row],[Num of Students]]/Table1[[#This Row],[Population 5-19]]*100</f>
        <v>89.887461575422165</v>
      </c>
      <c r="S133" s="15">
        <f>Table1[[#This Row],[Num of Schools ]]/Table1[[#This Row],[Population 5-19]]*1000</f>
        <v>2.4776978250675867</v>
      </c>
      <c r="T133">
        <v>4761</v>
      </c>
      <c r="U133">
        <v>1128313</v>
      </c>
      <c r="V133" s="15">
        <f>Table1[[#This Row],[Total Population]]/Table1[[#This Row],[Area ]]</f>
        <v>236.99075824406637</v>
      </c>
    </row>
  </sheetData>
  <phoneticPr fontId="1" type="noConversion"/>
  <pageMargins left="0.7" right="0.7" top="0.75" bottom="0.75" header="0.3" footer="0.3"/>
  <pageSetup orientation="portrait" r:id="rId1"/>
  <ignoredErrors>
    <ignoredError sqref="Q38:Q39 Q40:Q49 Q50:Q61 Q62:Q73 Q74:Q85 Q86:Q109 Q110:Q121 Q122:Q133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166F-FECF-4D73-B31E-430D1450F5AD}">
  <dimension ref="A1:G37"/>
  <sheetViews>
    <sheetView workbookViewId="0">
      <selection activeCell="C2" sqref="C2:C37"/>
    </sheetView>
  </sheetViews>
  <sheetFormatPr defaultRowHeight="15" x14ac:dyDescent="0.25"/>
  <cols>
    <col min="1" max="1" width="15" customWidth="1"/>
    <col min="2" max="2" width="11.28515625" customWidth="1"/>
    <col min="3" max="3" width="18.7109375" customWidth="1"/>
    <col min="4" max="4" width="19.28515625" customWidth="1"/>
    <col min="5" max="5" width="23.28515625" customWidth="1"/>
    <col min="6" max="6" width="22.7109375" customWidth="1"/>
    <col min="7" max="7" width="26.140625" customWidth="1"/>
  </cols>
  <sheetData>
    <row r="1" spans="1:7" x14ac:dyDescent="0.25">
      <c r="A1" t="s">
        <v>1</v>
      </c>
      <c r="B1" t="s">
        <v>0</v>
      </c>
      <c r="C1" s="11" t="s">
        <v>28</v>
      </c>
      <c r="D1" s="11" t="s">
        <v>30</v>
      </c>
      <c r="E1" s="11" t="s">
        <v>29</v>
      </c>
      <c r="F1" s="11" t="s">
        <v>31</v>
      </c>
      <c r="G1" t="s">
        <v>32</v>
      </c>
    </row>
    <row r="2" spans="1:7" x14ac:dyDescent="0.25">
      <c r="A2" s="7" t="s">
        <v>11</v>
      </c>
      <c r="B2" s="4">
        <v>2014</v>
      </c>
      <c r="C2" s="17">
        <v>162600</v>
      </c>
      <c r="D2" s="13">
        <v>36.5</v>
      </c>
      <c r="E2" s="13">
        <v>63.5</v>
      </c>
      <c r="F2" s="13">
        <f>Table3[[#This Row],[Total Population]]*(Table3[[#This Row],[population 5-19 Rate ]]/100)</f>
        <v>59349</v>
      </c>
      <c r="G2" s="13">
        <f>Table3[[#This Row],[Total Population]]*(Table3[[#This Row],[population +15 Rate]]/100)</f>
        <v>103251</v>
      </c>
    </row>
    <row r="3" spans="1:7" x14ac:dyDescent="0.25">
      <c r="A3" s="8" t="s">
        <v>12</v>
      </c>
      <c r="B3" s="5">
        <v>2014</v>
      </c>
      <c r="C3" s="17">
        <v>3701500</v>
      </c>
      <c r="D3" s="13">
        <v>31.4</v>
      </c>
      <c r="E3" s="12">
        <v>68.099999999999994</v>
      </c>
      <c r="F3" s="12">
        <f>Table3[[#This Row],[Total Population]]*(Table3[[#This Row],[population 5-19 Rate ]]/100)</f>
        <v>1162271</v>
      </c>
      <c r="G3" s="12">
        <f>Table3[[#This Row],[Total Population]]*(Table3[[#This Row],[population +15 Rate]]/100)</f>
        <v>2520721.5</v>
      </c>
    </row>
    <row r="4" spans="1:7" x14ac:dyDescent="0.25">
      <c r="A4" s="7" t="s">
        <v>7</v>
      </c>
      <c r="B4" s="4">
        <v>2014</v>
      </c>
      <c r="C4" s="17">
        <v>173800</v>
      </c>
      <c r="D4" s="13">
        <v>36.299999999999997</v>
      </c>
      <c r="E4" s="12">
        <v>61.2</v>
      </c>
      <c r="F4" s="12">
        <f>Table3[[#This Row],[Total Population]]*(Table3[[#This Row],[population 5-19 Rate ]]/100)</f>
        <v>63089.4</v>
      </c>
      <c r="G4" s="12">
        <f>Table3[[#This Row],[Total Population]]*(Table3[[#This Row],[population +15 Rate]]/100)</f>
        <v>106365.59999999999</v>
      </c>
    </row>
    <row r="5" spans="1:7" x14ac:dyDescent="0.25">
      <c r="A5" s="8" t="s">
        <v>4</v>
      </c>
      <c r="B5" s="5">
        <v>2014</v>
      </c>
      <c r="C5" s="17">
        <v>454200</v>
      </c>
      <c r="D5" s="13">
        <v>34.4</v>
      </c>
      <c r="E5" s="12">
        <v>65</v>
      </c>
      <c r="F5" s="12">
        <f>Table3[[#This Row],[Total Population]]*(Table3[[#This Row],[population 5-19 Rate ]]/100)</f>
        <v>156244.79999999999</v>
      </c>
      <c r="G5" s="12">
        <f>Table3[[#This Row],[Total Population]]*(Table3[[#This Row],[population +15 Rate]]/100)</f>
        <v>295230</v>
      </c>
    </row>
    <row r="6" spans="1:7" x14ac:dyDescent="0.25">
      <c r="A6" s="7" t="s">
        <v>3</v>
      </c>
      <c r="B6" s="4">
        <v>2014</v>
      </c>
      <c r="C6" s="17">
        <v>1634900</v>
      </c>
      <c r="D6" s="13">
        <v>35.099999999999994</v>
      </c>
      <c r="E6" s="12">
        <v>64.7</v>
      </c>
      <c r="F6" s="12">
        <f>Table3[[#This Row],[Total Population]]*(Table3[[#This Row],[population 5-19 Rate ]]/100)</f>
        <v>573849.89999999991</v>
      </c>
      <c r="G6" s="12">
        <f>Table3[[#This Row],[Total Population]]*(Table3[[#This Row],[population +15 Rate]]/100)</f>
        <v>1057780.3</v>
      </c>
    </row>
    <row r="7" spans="1:7" x14ac:dyDescent="0.25">
      <c r="A7" s="8" t="s">
        <v>10</v>
      </c>
      <c r="B7" s="5">
        <v>2014</v>
      </c>
      <c r="C7" s="17">
        <v>219000</v>
      </c>
      <c r="D7" s="13">
        <v>37.200000000000003</v>
      </c>
      <c r="E7" s="12">
        <v>61.9</v>
      </c>
      <c r="F7" s="12">
        <f>Table3[[#This Row],[Total Population]]*(Table3[[#This Row],[population 5-19 Rate ]]/100)</f>
        <v>81468.000000000015</v>
      </c>
      <c r="G7" s="12">
        <f>Table3[[#This Row],[Total Population]]*(Table3[[#This Row],[population +15 Rate]]/100)</f>
        <v>135561</v>
      </c>
    </row>
    <row r="8" spans="1:7" x14ac:dyDescent="0.25">
      <c r="A8" s="7" t="s">
        <v>8</v>
      </c>
      <c r="B8" s="4">
        <v>2014</v>
      </c>
      <c r="C8" s="16">
        <v>292500</v>
      </c>
      <c r="D8" s="13">
        <v>33.1</v>
      </c>
      <c r="E8" s="5">
        <v>63.699999999999989</v>
      </c>
      <c r="F8" s="12">
        <f>Table3[[#This Row],[Total Population]]*(Table3[[#This Row],[population 5-19 Rate ]]/100)</f>
        <v>96817.5</v>
      </c>
      <c r="G8" s="12">
        <f>Table3[[#This Row],[Total Population]]*(Table3[[#This Row],[population +15 Rate]]/100)</f>
        <v>186322.49999999997</v>
      </c>
    </row>
    <row r="9" spans="1:7" x14ac:dyDescent="0.25">
      <c r="A9" s="8" t="s">
        <v>14</v>
      </c>
      <c r="B9" s="5">
        <v>2014</v>
      </c>
      <c r="C9" s="17">
        <v>133100</v>
      </c>
      <c r="D9" s="13">
        <v>34.4</v>
      </c>
      <c r="E9" s="12">
        <v>65.3</v>
      </c>
      <c r="F9" s="12">
        <f>Table3[[#This Row],[Total Population]]*(Table3[[#This Row],[population 5-19 Rate ]]/100)</f>
        <v>45786.399999999994</v>
      </c>
      <c r="G9" s="12">
        <f>Table3[[#This Row],[Total Population]]*(Table3[[#This Row],[population +15 Rate]]/100)</f>
        <v>86914.3</v>
      </c>
    </row>
    <row r="10" spans="1:7" x14ac:dyDescent="0.25">
      <c r="A10" s="7" t="s">
        <v>13</v>
      </c>
      <c r="B10" s="4">
        <v>2014</v>
      </c>
      <c r="C10" s="17">
        <v>174800</v>
      </c>
      <c r="D10" s="13">
        <v>34.4</v>
      </c>
      <c r="E10" s="12">
        <v>66.100000000000009</v>
      </c>
      <c r="F10" s="12">
        <f>Table3[[#This Row],[Total Population]]*(Table3[[#This Row],[population 5-19 Rate ]]/100)</f>
        <v>60131.199999999997</v>
      </c>
      <c r="G10" s="12">
        <f>Table3[[#This Row],[Total Population]]*(Table3[[#This Row],[population +15 Rate]]/100)</f>
        <v>115542.8</v>
      </c>
    </row>
    <row r="11" spans="1:7" x14ac:dyDescent="0.25">
      <c r="A11" s="8" t="s">
        <v>9</v>
      </c>
      <c r="B11" s="5">
        <v>2014</v>
      </c>
      <c r="C11" s="17">
        <v>508000</v>
      </c>
      <c r="D11" s="13">
        <v>36.799999999999997</v>
      </c>
      <c r="E11" s="12">
        <v>61.199999999999996</v>
      </c>
      <c r="F11" s="12">
        <f>Table3[[#This Row],[Total Population]]*(Table3[[#This Row],[population 5-19 Rate ]]/100)</f>
        <v>186944</v>
      </c>
      <c r="G11" s="12">
        <f>Table3[[#This Row],[Total Population]]*(Table3[[#This Row],[population +15 Rate]]/100)</f>
        <v>310896</v>
      </c>
    </row>
    <row r="12" spans="1:7" x14ac:dyDescent="0.25">
      <c r="A12" s="7" t="s">
        <v>6</v>
      </c>
      <c r="B12" s="4">
        <v>2014</v>
      </c>
      <c r="C12" s="17">
        <v>88900</v>
      </c>
      <c r="D12" s="13">
        <v>34.800000000000004</v>
      </c>
      <c r="E12" s="12">
        <v>62.499999999999993</v>
      </c>
      <c r="F12" s="12">
        <f>Table3[[#This Row],[Total Population]]*(Table3[[#This Row],[population 5-19 Rate ]]/100)</f>
        <v>30937.200000000004</v>
      </c>
      <c r="G12" s="12">
        <f>Table3[[#This Row],[Total Population]]*(Table3[[#This Row],[population +15 Rate]]/100)</f>
        <v>55562.499999999993</v>
      </c>
    </row>
    <row r="13" spans="1:7" x14ac:dyDescent="0.25">
      <c r="A13" s="8" t="s">
        <v>5</v>
      </c>
      <c r="B13" s="5">
        <v>2014</v>
      </c>
      <c r="C13" s="17">
        <v>1260700</v>
      </c>
      <c r="D13" s="13">
        <v>36.5</v>
      </c>
      <c r="E13" s="12">
        <v>63.29999999999999</v>
      </c>
      <c r="F13" s="12">
        <f>Table3[[#This Row],[Total Population]]*(Table3[[#This Row],[population 5-19 Rate ]]/100)</f>
        <v>460155.5</v>
      </c>
      <c r="G13" s="12">
        <f>Table3[[#This Row],[Total Population]]*(Table3[[#This Row],[population +15 Rate]]/100)</f>
        <v>798023.09999999986</v>
      </c>
    </row>
    <row r="14" spans="1:7" x14ac:dyDescent="0.25">
      <c r="A14" s="7" t="s">
        <v>11</v>
      </c>
      <c r="B14" s="4">
        <v>2015</v>
      </c>
      <c r="C14" s="17">
        <v>176600</v>
      </c>
      <c r="D14" s="12">
        <v>37.200000000000003</v>
      </c>
      <c r="E14" s="12">
        <v>62.1</v>
      </c>
      <c r="F14" s="12">
        <f>Table3[[#This Row],[Total Population]]*(Table3[[#This Row],[population 5-19 Rate ]]/100)</f>
        <v>65695.200000000012</v>
      </c>
      <c r="G14" s="12">
        <f>Table3[[#This Row],[Total Population]]*(Table3[[#This Row],[population +15 Rate]]/100)</f>
        <v>109668.6</v>
      </c>
    </row>
    <row r="15" spans="1:7" x14ac:dyDescent="0.25">
      <c r="A15" s="8" t="s">
        <v>12</v>
      </c>
      <c r="B15" s="5">
        <v>2015</v>
      </c>
      <c r="C15" s="17">
        <v>4019100</v>
      </c>
      <c r="D15" s="12">
        <v>32.200000000000003</v>
      </c>
      <c r="E15" s="12">
        <v>69</v>
      </c>
      <c r="F15" s="12">
        <f>Table3[[#This Row],[Total Population]]*(Table3[[#This Row],[population 5-19 Rate ]]/100)</f>
        <v>1294150.2</v>
      </c>
      <c r="G15" s="12">
        <f>Table3[[#This Row],[Total Population]]*(Table3[[#This Row],[population +15 Rate]]/100)</f>
        <v>2773179</v>
      </c>
    </row>
    <row r="16" spans="1:7" x14ac:dyDescent="0.25">
      <c r="A16" s="7" t="s">
        <v>7</v>
      </c>
      <c r="B16" s="4">
        <v>2015</v>
      </c>
      <c r="C16" s="17">
        <v>188700</v>
      </c>
      <c r="D16" s="12">
        <v>35.700000000000003</v>
      </c>
      <c r="E16" s="12">
        <v>63.1</v>
      </c>
      <c r="F16" s="12">
        <f>Table3[[#This Row],[Total Population]]*(Table3[[#This Row],[population 5-19 Rate ]]/100)</f>
        <v>67365.900000000009</v>
      </c>
      <c r="G16" s="12">
        <f>Table3[[#This Row],[Total Population]]*(Table3[[#This Row],[population +15 Rate]]/100)</f>
        <v>119069.7</v>
      </c>
    </row>
    <row r="17" spans="1:7" x14ac:dyDescent="0.25">
      <c r="A17" s="8" t="s">
        <v>4</v>
      </c>
      <c r="B17" s="5">
        <v>2015</v>
      </c>
      <c r="C17" s="17">
        <v>493100</v>
      </c>
      <c r="D17" s="12">
        <v>34.5</v>
      </c>
      <c r="E17" s="12">
        <v>65.699999999999989</v>
      </c>
      <c r="F17" s="12">
        <f>Table3[[#This Row],[Total Population]]*(Table3[[#This Row],[population 5-19 Rate ]]/100)</f>
        <v>170119.5</v>
      </c>
      <c r="G17" s="12">
        <f>Table3[[#This Row],[Total Population]]*(Table3[[#This Row],[population +15 Rate]]/100)</f>
        <v>323966.69999999995</v>
      </c>
    </row>
    <row r="18" spans="1:7" x14ac:dyDescent="0.25">
      <c r="A18" s="7" t="s">
        <v>3</v>
      </c>
      <c r="B18" s="4">
        <v>2015</v>
      </c>
      <c r="C18" s="17">
        <v>1775200</v>
      </c>
      <c r="D18" s="12">
        <v>35.1</v>
      </c>
      <c r="E18" s="12">
        <v>65.400000000000006</v>
      </c>
      <c r="F18" s="12">
        <f>Table3[[#This Row],[Total Population]]*(Table3[[#This Row],[population 5-19 Rate ]]/100)</f>
        <v>623095.20000000007</v>
      </c>
      <c r="G18" s="12">
        <f>Table3[[#This Row],[Total Population]]*(Table3[[#This Row],[population +15 Rate]]/100)</f>
        <v>1160980.8</v>
      </c>
    </row>
    <row r="19" spans="1:7" x14ac:dyDescent="0.25">
      <c r="A19" s="8" t="s">
        <v>10</v>
      </c>
      <c r="B19" s="5">
        <v>2015</v>
      </c>
      <c r="C19" s="17">
        <v>237700</v>
      </c>
      <c r="D19">
        <v>35.200000000000003</v>
      </c>
      <c r="E19" s="12">
        <v>64.399999999999991</v>
      </c>
      <c r="F19" s="12">
        <f>Table3[[#This Row],[Total Population]]*(Table3[[#This Row],[population 5-19 Rate ]]/100)</f>
        <v>83670.400000000009</v>
      </c>
      <c r="G19" s="12">
        <f>Table3[[#This Row],[Total Population]]*(Table3[[#This Row],[population +15 Rate]]/100)</f>
        <v>153078.79999999999</v>
      </c>
    </row>
    <row r="20" spans="1:7" x14ac:dyDescent="0.25">
      <c r="A20" s="7" t="s">
        <v>8</v>
      </c>
      <c r="B20" s="4">
        <v>2015</v>
      </c>
      <c r="C20" s="17">
        <v>317500</v>
      </c>
      <c r="D20" s="12">
        <v>33.1</v>
      </c>
      <c r="E20" s="12">
        <v>63.7</v>
      </c>
      <c r="F20" s="12">
        <f>Table3[[#This Row],[Total Population]]*(Table3[[#This Row],[population 5-19 Rate ]]/100)</f>
        <v>105092.5</v>
      </c>
      <c r="G20" s="12">
        <f>Table3[[#This Row],[Total Population]]*(Table3[[#This Row],[population +15 Rate]]/100)</f>
        <v>202247.5</v>
      </c>
    </row>
    <row r="21" spans="1:7" x14ac:dyDescent="0.25">
      <c r="A21" s="8" t="s">
        <v>14</v>
      </c>
      <c r="B21" s="5">
        <v>2015</v>
      </c>
      <c r="C21" s="17">
        <v>144500</v>
      </c>
      <c r="D21" s="12">
        <v>36.5</v>
      </c>
      <c r="E21" s="12">
        <v>62.7</v>
      </c>
      <c r="F21" s="12">
        <f>Table3[[#This Row],[Total Population]]*(Table3[[#This Row],[population 5-19 Rate ]]/100)</f>
        <v>52742.5</v>
      </c>
      <c r="G21" s="12">
        <f>Table3[[#This Row],[Total Population]]*(Table3[[#This Row],[population +15 Rate]]/100)</f>
        <v>90601.5</v>
      </c>
    </row>
    <row r="22" spans="1:7" x14ac:dyDescent="0.25">
      <c r="A22" s="7" t="s">
        <v>13</v>
      </c>
      <c r="B22" s="4">
        <v>2015</v>
      </c>
      <c r="C22" s="17">
        <v>189700</v>
      </c>
      <c r="D22" s="12">
        <v>34</v>
      </c>
      <c r="E22" s="12">
        <v>67.300000000000011</v>
      </c>
      <c r="F22" s="12">
        <f>Table3[[#This Row],[Total Population]]*(Table3[[#This Row],[population 5-19 Rate ]]/100)</f>
        <v>64498.000000000007</v>
      </c>
      <c r="G22" s="12">
        <f>Table3[[#This Row],[Total Population]]*(Table3[[#This Row],[population +15 Rate]]/100)</f>
        <v>127668.10000000003</v>
      </c>
    </row>
    <row r="23" spans="1:7" x14ac:dyDescent="0.25">
      <c r="A23" s="8" t="s">
        <v>9</v>
      </c>
      <c r="B23" s="5">
        <v>2015</v>
      </c>
      <c r="C23" s="17">
        <v>551500</v>
      </c>
      <c r="D23" s="12">
        <v>36.200000000000003</v>
      </c>
      <c r="E23" s="12">
        <v>61.600000000000009</v>
      </c>
      <c r="F23" s="12">
        <f>Table3[[#This Row],[Total Population]]*(Table3[[#This Row],[population 5-19 Rate ]]/100)</f>
        <v>199643.00000000003</v>
      </c>
      <c r="G23" s="12">
        <f>Table3[[#This Row],[Total Population]]*(Table3[[#This Row],[population +15 Rate]]/100)</f>
        <v>339724.00000000006</v>
      </c>
    </row>
    <row r="24" spans="1:7" x14ac:dyDescent="0.25">
      <c r="A24" s="7" t="s">
        <v>6</v>
      </c>
      <c r="B24" s="4">
        <v>2015</v>
      </c>
      <c r="C24" s="17">
        <v>96600</v>
      </c>
      <c r="D24" s="12">
        <v>35.6</v>
      </c>
      <c r="E24" s="12">
        <v>61.6</v>
      </c>
      <c r="F24" s="12">
        <f>Table3[[#This Row],[Total Population]]*(Table3[[#This Row],[population 5-19 Rate ]]/100)</f>
        <v>34389.600000000006</v>
      </c>
      <c r="G24" s="12">
        <f>Table3[[#This Row],[Total Population]]*(Table3[[#This Row],[population +15 Rate]]/100)</f>
        <v>59505.599999999999</v>
      </c>
    </row>
    <row r="25" spans="1:7" x14ac:dyDescent="0.25">
      <c r="A25" s="8" t="s">
        <v>5</v>
      </c>
      <c r="B25" s="5">
        <v>2015</v>
      </c>
      <c r="C25" s="17">
        <v>1368800</v>
      </c>
      <c r="D25" s="12">
        <v>35.200000000000003</v>
      </c>
      <c r="E25" s="12">
        <v>65.400000000000006</v>
      </c>
      <c r="F25" s="12">
        <f>Table3[[#This Row],[Total Population]]*(Table3[[#This Row],[population 5-19 Rate ]]/100)</f>
        <v>481817.60000000003</v>
      </c>
      <c r="G25" s="12">
        <f>Table3[[#This Row],[Total Population]]*(Table3[[#This Row],[population +15 Rate]]/100)</f>
        <v>895195.20000000007</v>
      </c>
    </row>
    <row r="26" spans="1:7" x14ac:dyDescent="0.25">
      <c r="A26" s="7" t="s">
        <v>11</v>
      </c>
      <c r="B26" s="4">
        <v>2016</v>
      </c>
      <c r="C26" s="17">
        <v>181000</v>
      </c>
      <c r="D26" s="12">
        <v>36.5</v>
      </c>
      <c r="E26" s="12">
        <v>63.999999999999993</v>
      </c>
      <c r="F26" s="12">
        <f>Table3[[#This Row],[Total Population]]*(Table3[[#This Row],[population 5-19 Rate ]]/100)</f>
        <v>66065</v>
      </c>
      <c r="G26" s="12">
        <f>Table3[[#This Row],[Total Population]]*(Table3[[#This Row],[population +15 Rate]]/100)</f>
        <v>115839.99999999999</v>
      </c>
    </row>
    <row r="27" spans="1:7" x14ac:dyDescent="0.25">
      <c r="A27" s="8" t="s">
        <v>12</v>
      </c>
      <c r="B27" s="5">
        <v>2016</v>
      </c>
      <c r="C27" s="17">
        <v>4119500</v>
      </c>
      <c r="D27" s="12">
        <v>31.8</v>
      </c>
      <c r="E27" s="12">
        <v>71.100000000000009</v>
      </c>
      <c r="F27" s="12">
        <f>Table3[[#This Row],[Total Population]]*(Table3[[#This Row],[population 5-19 Rate ]]/100)</f>
        <v>1310001</v>
      </c>
      <c r="G27" s="12">
        <f>Table3[[#This Row],[Total Population]]*(Table3[[#This Row],[population +15 Rate]]/100)</f>
        <v>2928964.5000000005</v>
      </c>
    </row>
    <row r="28" spans="1:7" x14ac:dyDescent="0.25">
      <c r="A28" s="7" t="s">
        <v>7</v>
      </c>
      <c r="B28" s="4">
        <v>2016</v>
      </c>
      <c r="C28" s="17">
        <v>193400</v>
      </c>
      <c r="D28" s="12">
        <v>34.400000000000006</v>
      </c>
      <c r="E28" s="12">
        <v>63.4</v>
      </c>
      <c r="F28" s="12">
        <f>Table3[[#This Row],[Total Population]]*(Table3[[#This Row],[population 5-19 Rate ]]/100)</f>
        <v>66529.60000000002</v>
      </c>
      <c r="G28" s="12">
        <f>Table3[[#This Row],[Total Population]]*(Table3[[#This Row],[population +15 Rate]]/100)</f>
        <v>122615.6</v>
      </c>
    </row>
    <row r="29" spans="1:7" x14ac:dyDescent="0.25">
      <c r="A29" s="8" t="s">
        <v>4</v>
      </c>
      <c r="B29" s="5">
        <v>2016</v>
      </c>
      <c r="C29" s="17">
        <v>505400</v>
      </c>
      <c r="D29" s="12">
        <v>33.900000000000006</v>
      </c>
      <c r="E29" s="12">
        <v>67.5</v>
      </c>
      <c r="F29" s="12">
        <f>Table3[[#This Row],[Total Population]]*(Table3[[#This Row],[population 5-19 Rate ]]/100)</f>
        <v>171330.60000000003</v>
      </c>
      <c r="G29" s="12">
        <f>Table3[[#This Row],[Total Population]]*(Table3[[#This Row],[population +15 Rate]]/100)</f>
        <v>341145</v>
      </c>
    </row>
    <row r="30" spans="1:7" x14ac:dyDescent="0.25">
      <c r="A30" s="7" t="s">
        <v>3</v>
      </c>
      <c r="B30" s="4">
        <v>2016</v>
      </c>
      <c r="C30" s="17">
        <v>1819600</v>
      </c>
      <c r="D30" s="12">
        <v>34.5</v>
      </c>
      <c r="E30" s="12">
        <v>66.900000000000006</v>
      </c>
      <c r="F30" s="12">
        <f>Table3[[#This Row],[Total Population]]*(Table3[[#This Row],[population 5-19 Rate ]]/100)</f>
        <v>627762</v>
      </c>
      <c r="G30" s="12">
        <f>Table3[[#This Row],[Total Population]]*(Table3[[#This Row],[population +15 Rate]]/100)</f>
        <v>1217312.4000000001</v>
      </c>
    </row>
    <row r="31" spans="1:7" x14ac:dyDescent="0.25">
      <c r="A31" s="8" t="s">
        <v>10</v>
      </c>
      <c r="B31" s="5">
        <v>2016</v>
      </c>
      <c r="C31" s="17">
        <v>243700</v>
      </c>
      <c r="D31" s="12">
        <v>33.9</v>
      </c>
      <c r="E31" s="12">
        <v>66.3</v>
      </c>
      <c r="F31" s="12">
        <f>Table3[[#This Row],[Total Population]]*(Table3[[#This Row],[population 5-19 Rate ]]/100)</f>
        <v>82614.299999999988</v>
      </c>
      <c r="G31" s="12">
        <f>Table3[[#This Row],[Total Population]]*(Table3[[#This Row],[population +15 Rate]]/100)</f>
        <v>161573.09999999998</v>
      </c>
    </row>
    <row r="32" spans="1:7" x14ac:dyDescent="0.25">
      <c r="A32" s="7" t="s">
        <v>8</v>
      </c>
      <c r="B32" s="4">
        <v>2016</v>
      </c>
      <c r="C32" s="17">
        <v>325500</v>
      </c>
      <c r="D32" s="12">
        <v>35.200000000000003</v>
      </c>
      <c r="E32" s="12">
        <v>64.699999999999989</v>
      </c>
      <c r="F32" s="12">
        <f>Table3[[#This Row],[Total Population]]*(Table3[[#This Row],[population 5-19 Rate ]]/100)</f>
        <v>114576.00000000001</v>
      </c>
      <c r="G32" s="12">
        <f>Table3[[#This Row],[Total Population]]*(Table3[[#This Row],[population +15 Rate]]/100)</f>
        <v>210598.49999999997</v>
      </c>
    </row>
    <row r="33" spans="1:7" x14ac:dyDescent="0.25">
      <c r="A33" s="8" t="s">
        <v>14</v>
      </c>
      <c r="B33" s="5">
        <v>2016</v>
      </c>
      <c r="C33" s="17">
        <v>148100</v>
      </c>
      <c r="D33" s="12">
        <v>38.5</v>
      </c>
      <c r="E33" s="12">
        <v>63.800000000000004</v>
      </c>
      <c r="F33" s="12">
        <f>Table3[[#This Row],[Total Population]]*(Table3[[#This Row],[population 5-19 Rate ]]/100)</f>
        <v>57018.5</v>
      </c>
      <c r="G33" s="12">
        <f>Table3[[#This Row],[Total Population]]*(Table3[[#This Row],[population +15 Rate]]/100)</f>
        <v>94487.8</v>
      </c>
    </row>
    <row r="34" spans="1:7" x14ac:dyDescent="0.25">
      <c r="A34" s="7" t="s">
        <v>13</v>
      </c>
      <c r="B34" s="4">
        <v>2016</v>
      </c>
      <c r="C34" s="17">
        <v>194500</v>
      </c>
      <c r="D34" s="12">
        <v>34.799999999999997</v>
      </c>
      <c r="E34" s="12">
        <v>66.8</v>
      </c>
      <c r="F34" s="12">
        <f>Table3[[#This Row],[Total Population]]*(Table3[[#This Row],[population 5-19 Rate ]]/100)</f>
        <v>67686</v>
      </c>
      <c r="G34" s="12">
        <f>Table3[[#This Row],[Total Population]]*(Table3[[#This Row],[population +15 Rate]]/100)</f>
        <v>129925.99999999999</v>
      </c>
    </row>
    <row r="35" spans="1:7" x14ac:dyDescent="0.25">
      <c r="A35" s="8" t="s">
        <v>9</v>
      </c>
      <c r="B35" s="5">
        <v>2016</v>
      </c>
      <c r="C35" s="17">
        <v>565300</v>
      </c>
      <c r="D35" s="12">
        <v>36.6</v>
      </c>
      <c r="E35" s="12">
        <v>62.9</v>
      </c>
      <c r="F35" s="12">
        <f>Table3[[#This Row],[Total Population]]*(Table3[[#This Row],[population 5-19 Rate ]]/100)</f>
        <v>206899.8</v>
      </c>
      <c r="G35" s="12">
        <f>Table3[[#This Row],[Total Population]]*(Table3[[#This Row],[population +15 Rate]]/100)</f>
        <v>355573.7</v>
      </c>
    </row>
    <row r="36" spans="1:7" x14ac:dyDescent="0.25">
      <c r="A36" s="7" t="s">
        <v>6</v>
      </c>
      <c r="B36" s="4">
        <v>2016</v>
      </c>
      <c r="C36" s="17">
        <v>99000</v>
      </c>
      <c r="D36" s="12">
        <v>35.4</v>
      </c>
      <c r="E36" s="12">
        <v>62.800000000000011</v>
      </c>
      <c r="F36" s="12">
        <f>Table3[[#This Row],[Total Population]]*(Table3[[#This Row],[population 5-19 Rate ]]/100)</f>
        <v>35046</v>
      </c>
      <c r="G36" s="12">
        <f>Table3[[#This Row],[Total Population]]*(Table3[[#This Row],[population +15 Rate]]/100)</f>
        <v>62172.000000000015</v>
      </c>
    </row>
    <row r="37" spans="1:7" x14ac:dyDescent="0.25">
      <c r="A37" s="9" t="s">
        <v>5</v>
      </c>
      <c r="B37" s="10">
        <v>2016</v>
      </c>
      <c r="C37" s="17">
        <v>1403000</v>
      </c>
      <c r="D37" s="12">
        <v>36</v>
      </c>
      <c r="E37" s="14">
        <v>66.7</v>
      </c>
      <c r="F37" s="14">
        <f>Table3[[#This Row],[Total Population]]*(Table3[[#This Row],[population 5-19 Rate ]]/100)</f>
        <v>505080</v>
      </c>
      <c r="G37" s="14">
        <f>Table3[[#This Row],[Total Population]]*(Table3[[#This Row],[population +15 Rate]]/100)</f>
        <v>935801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Data</vt:lpstr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تالا خالد طاهر الهنيني</dc:creator>
  <cp:lastModifiedBy>تالا خالد طاهر الهنيني</cp:lastModifiedBy>
  <cp:lastPrinted>2026-04-21T18:57:04Z</cp:lastPrinted>
  <dcterms:created xsi:type="dcterms:W3CDTF">2026-04-20T08:56:08Z</dcterms:created>
  <dcterms:modified xsi:type="dcterms:W3CDTF">2026-04-21T20:07:20Z</dcterms:modified>
</cp:coreProperties>
</file>